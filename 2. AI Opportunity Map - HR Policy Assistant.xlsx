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portunity Map" sheetId="1" state="visible" r:id="rId3"/>
    <sheet name="Scoring" sheetId="2" state="visible" r:id="rId4"/>
  </sheets>
  <definedNames>
    <definedName function="false" hidden="true" localSheetId="0" name="_xlnm._FilterDatabase" vbProcedure="false">'Opportunity Map'!$A$1:$I$91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<sst xmlns="http://schemas.openxmlformats.org/spreadsheetml/2006/main" count="526" uniqueCount="207">
  <si>
    <t xml:space="preserve">Frame</t>
  </si>
  <si>
    <t xml:space="preserve">Type</t>
  </si>
  <si>
    <t xml:space="preserve">Title</t>
  </si>
  <si>
    <t xml:space="preserve">Text</t>
  </si>
  <si>
    <t xml:space="preserve">Color</t>
  </si>
  <si>
    <t xml:space="preserve">Impact</t>
  </si>
  <si>
    <t xml:space="preserve">Feasibility</t>
  </si>
  <si>
    <t xml:space="preserve">Score</t>
  </si>
  <si>
    <t xml:space="preserve">Quadrant</t>
  </si>
  <si>
    <t xml:space="preserve">1 Header</t>
  </si>
  <si>
    <t xml:space="preserve">Sticky</t>
  </si>
  <si>
    <t xml:space="preserve">Persona</t>
  </si>
  <si>
    <t xml:space="preserve">Meera, HR business partner in Bengaluru (one of 12 HRBPs: 6 India, 3 UK, 3 US). Answers leave, pay, benefits and travel questions by email, Teams and ServiceNow; also owns the sensitive cases for ~600 employees.</t>
  </si>
  <si>
    <t xml:space="preserve">yellow</t>
  </si>
  <si>
    <t xml:space="preserve">Root cause</t>
  </si>
  <si>
    <t xml:space="preserve">Brightpath does not lack HR policies; it lacks a single trusted, version-controlled source joined to who is asking. 40 documents, no owner, no effective dates, no audience tags, so every routine question needs a person to work out country, grade, contract and the live version.</t>
  </si>
  <si>
    <t xml:space="preserve">Evidence</t>
  </si>
  <si>
    <t xml:space="preserve">~2,500 questions a month (4,000 in March and November); 18 min and $10.50 each (≈ $26k a month); 1.5 working days to first reply; 40% of HRBP time on repeat questions; 8% of answers wrong (wrong country or old version); 10% of India questions in Hindi/Hinglish; 700 contractors on different terms; employees avoid asking sensitive questions.</t>
  </si>
  <si>
    <t xml:space="preserve">Goal</t>
  </si>
  <si>
    <t xml:space="preserve">Find where AI safely answers routine policy questions and where it must hand off, score the options, and scope an MVP that hits the CHRO targets (60% resolved without an HRBP; repeat-question time 40% → 20%) without breaking Legal, privacy or the HRBP relationship.</t>
  </si>
  <si>
    <t xml:space="preserve">2 Workflow</t>
  </si>
  <si>
    <t xml:space="preserve">S1 Employee asks | Today</t>
  </si>
  <si>
    <t xml:space="preserve">Email, Teams chat or ServiceNow ticket, any time; often in Hinglish; sensitive details shared in free text.</t>
  </si>
  <si>
    <t xml:space="preserve">gray</t>
  </si>
  <si>
    <t xml:space="preserve">S1 Employee asks | Pain</t>
  </si>
  <si>
    <t xml:space="preserve">Waits 1.5 working days; doesn't know who will read a sensitive message, so avoids asking.</t>
  </si>
  <si>
    <t xml:space="preserve">red</t>
  </si>
  <si>
    <t xml:space="preserve">S1 Employee asks | AI opportunities</t>
  </si>
  <si>
    <t xml:space="preserve">O1, O9, O12</t>
  </si>
  <si>
    <t xml:space="preserve">light_green</t>
  </si>
  <si>
    <t xml:space="preserve">S2 Work out who is asking | Today</t>
  </si>
  <si>
    <t xml:space="preserve">HRBP checks Workday: country, grade, employee or contractor, joining date.</t>
  </si>
  <si>
    <t xml:space="preserve">S2 Work out who is asking | Pain</t>
  </si>
  <si>
    <t xml:space="preserve">Manual lookups every time; contractors (700) answered with employee terms by mistake.</t>
  </si>
  <si>
    <t xml:space="preserve">S2 Work out who is asking | AI opportunities</t>
  </si>
  <si>
    <t xml:space="preserve">O2</t>
  </si>
  <si>
    <t xml:space="preserve">S3 Find the right policy | Today</t>
  </si>
  <si>
    <t xml:space="preserve">Search ~300 pages in 40 SharePoint documents; some scanned PDFs, key rules in tables.</t>
  </si>
  <si>
    <t xml:space="preserve">S3 Find the right policy | Pain</t>
  </si>
  <si>
    <t xml:space="preserve">Two travel versions live at once; superseded files still visible; tables keyed by grade; the main source of the 8% wrong answers.</t>
  </si>
  <si>
    <t xml:space="preserve">S3 Find the right policy | AI opportunities</t>
  </si>
  <si>
    <t xml:space="preserve">O3, O4, O13</t>
  </si>
  <si>
    <t xml:space="preserve">S4 Check personal data | Today</t>
  </si>
  <si>
    <t xml:space="preserve">Workday for leave balance, joining date, benefits plan.</t>
  </si>
  <si>
    <t xml:space="preserve">S4 Check personal data | Pain</t>
  </si>
  <si>
    <t xml:space="preserve">Balance questions (part of the 30% leave mix) need a person even when the policy is clear.</t>
  </si>
  <si>
    <t xml:space="preserve">S4 Check personal data | AI opportunities</t>
  </si>
  <si>
    <t xml:space="preserve">O8</t>
  </si>
  <si>
    <t xml:space="preserve">S5 Reply and log | Today</t>
  </si>
  <si>
    <t xml:space="preserve">Write the answer, paste a link, log in ServiceNow.</t>
  </si>
  <si>
    <t xml:space="preserve">S5 Reply and log | Pain</t>
  </si>
  <si>
    <t xml:space="preserve">18 min per question; the same 20 answers retyped weekly; peaks in March and November swamp the team.</t>
  </si>
  <si>
    <t xml:space="preserve">S5 Reply and log | AI opportunities</t>
  </si>
  <si>
    <t xml:space="preserve">O1, O5, O10</t>
  </si>
  <si>
    <t xml:space="preserve">S6 Sensitive and legal cases | Today</t>
  </si>
  <si>
    <t xml:space="preserve">Bereavement, harassment, medical, layoff, grievance, resignation, legal questions arrive in the same queue.</t>
  </si>
  <si>
    <t xml:space="preserve">S6 Sensitive and legal cases | Pain</t>
  </si>
  <si>
    <t xml:space="preserve">Wait behind routine questions; employee has to repeat context; Legal fears answers read as promises, especially in the UK.</t>
  </si>
  <si>
    <t xml:space="preserve">S6 Sensitive and legal cases | AI opportunities</t>
  </si>
  <si>
    <t xml:space="preserve">O6, O7, O14</t>
  </si>
  <si>
    <t xml:space="preserve">S7 Policy updates | Today</t>
  </si>
  <si>
    <t xml:space="preserve">~10 updates a quarter uploaded by country leads with no common format or publishing owner.</t>
  </si>
  <si>
    <t xml:space="preserve">S7 Policy updates | Pain</t>
  </si>
  <si>
    <t xml:space="preserve">Nobody knows which version is live; old copies keep circulating in HRBP snippets.</t>
  </si>
  <si>
    <t xml:space="preserve">S7 Policy updates | AI opportunities</t>
  </si>
  <si>
    <t xml:space="preserve">O4, O11</t>
  </si>
  <si>
    <t xml:space="preserve">3 Opportunities</t>
  </si>
  <si>
    <t xml:space="preserve">Card</t>
  </si>
  <si>
    <t xml:space="preserve">O1 Grounded policy answers in Teams</t>
  </si>
  <si>
    <t xml:space="preserve">Answer routine leave, pay-date, benefits and travel questions from the policy text with a link to the exact section. Why AI: Understanding free-text questions (incl. paraphrase and Hinglish) and summarising a matched section is a core LLM strength when grounded in retrieved text. Evidence: 80% of the question mix is routine policy; 18 min each Stage: S1, S5</t>
  </si>
  <si>
    <t xml:space="preserve">blue</t>
  </si>
  <si>
    <t xml:space="preserve">Do first (MVP)</t>
  </si>
  <si>
    <t xml:space="preserve">O2 Profile-aware eligibility filter</t>
  </si>
  <si>
    <t xml:space="preserve">Use the Workday profile (country, grade, employment type, service) to filter documents before search and pick the right table row. Why AI: Mostly deterministic code, not AI; that is the point: the model never chooses the country. Evidence: 8% wrong answers from wrong country; 700 contractors Stage: S2</t>
  </si>
  <si>
    <t xml:space="preserve">O3 Version-aware retrieval</t>
  </si>
  <si>
    <t xml:space="preserve">Search only versions live today; when two are live (travel transition), show both with when each applies. Why AI: Retrieval ranking (keyword + embeddings) over sections; date logic is rules. Evidence: superseded India leave v3.1 (45-day carry-forward) vs live v3.2 (30 days); UK travel v4/v5 Stage: S3</t>
  </si>
  <si>
    <t xml:space="preserve">O4 Policy publishing with metadata</t>
  </si>
  <si>
    <t xml:space="preserve">Country leads publish through a short form: owner, version, audience, effective dates, what changed; old version superseded automatically. Why AI: AI can propose metadata and a change summary from the new file; owner approves. Evidence: 10 updates a quarter, no common format, no owner Stage: S7</t>
  </si>
  <si>
    <t xml:space="preserve">O5 Answer verification guard</t>
  </si>
  <si>
    <t xml:space="preserve">Before showing an answer: must cite a retrieved section; every number must appear in it; no promise or legal-advice wording; else fall back to quoting. Why AI: An automated check on the model's output; rules plus simple matching. Evidence: Legal: 'the bot said I get 10 more days' Stage: S5</t>
  </si>
  <si>
    <t xml:space="preserve">O6 Sensitive-topic triage and hand-off</t>
  </si>
  <si>
    <t xml:space="preserve">Detect bereavement, harassment, medical, legal, layoff, resignation, grievance and pay problems before any AI call; create a ticket for the right queue with a short summary the employee approves. Why AI: Rules first (high recall, auditable); a classifier can be added later for paraphrases. Evidence: 10% of volume is sensitive; employees avoid asking Stage: S6</t>
  </si>
  <si>
    <t xml:space="preserve">O7 Privacy redaction</t>
  </si>
  <si>
    <t xml:space="preserve">Strip PAN, NI, SSN, phone, email and health terms from logs and ticket summaries; sensitive text never sent to a model. Why AI: Pattern matching; NER later. Evidence: UK GDPR, India DPDP; employees share health and family details Stage: S6</t>
  </si>
  <si>
    <t xml:space="preserve">O8 Leave balance lookup (Workday)</t>
  </si>
  <si>
    <t xml:space="preserve">Answer 'how many days do I have left?' from the employee's own Workday record. Why AI: Read-only API call plus the policy answer; needs Workday integration and security review. Evidence: Leave is 30% of volume and often needs the balance Stage: S4</t>
  </si>
  <si>
    <t xml:space="preserve">Plan next</t>
  </si>
  <si>
    <t xml:space="preserve">O9 Hindi / Hinglish answers</t>
  </si>
  <si>
    <t xml:space="preserve">Understand and reply in Hindi or mixed Hindi-English. Why AI: Multilingual LLMs handle this well; retrieval needs synonym expansion. Evidence: 10% of India questions Stage: S1</t>
  </si>
  <si>
    <t xml:space="preserve">Quick add-on</t>
  </si>
  <si>
    <t xml:space="preserve">O10 HRBP draft replies for the remaining queue</t>
  </si>
  <si>
    <t xml:space="preserve">For questions still handled by HRBPs, draft a cited reply for them to edit. Why AI: Same engine, human in the loop. Evidence: HRBPs worry about losing context; keeps them in control Stage: S5</t>
  </si>
  <si>
    <t xml:space="preserve">O11 Content gap and conflict detector</t>
  </si>
  <si>
    <t xml:space="preserve">Report questions with no answer, thumbs-down answers, and contradictions between countries or versions to the policy owner. Why AI: Clustering of unanswered questions plus comparison of sections. Evidence: 8% audit; HRBP context ('client-specific travel rule') Stage: S7</t>
  </si>
  <si>
    <t xml:space="preserve">O12 Proactive peak nudges</t>
  </si>
  <si>
    <t xml:space="preserve">Before March and November, message employees with the deadlines (tax proofs, encashment, open enrolment). Why AI: Mostly scheduling; AI optional. Evidence: peaks of 4,000 a month Stage: S1</t>
  </si>
  <si>
    <t xml:space="preserve">O13 Auto-answer from old tickets</t>
  </si>
  <si>
    <t xml:space="preserve">Train or retrieve from past ServiceNow replies. Why AI: Easy to build but old replies include the 8% wrong answers and personal data. Evidence: audit found wrong-country and outdated answers Stage: S3</t>
  </si>
  <si>
    <t xml:space="preserve">Park / avoid</t>
  </si>
  <si>
    <t xml:space="preserve">O14 AI handles grievances or gives legal opinions</t>
  </si>
  <si>
    <t xml:space="preserve">Let the assistant counsel on harassment, layoffs or legal rights. Why AI: Technically possible; unacceptable risk and breaks trust and Legal's red line. Evidence: Legal and employee survey Stage: S6</t>
  </si>
  <si>
    <t xml:space="preserve">O15 Sentiment-based attrition prediction from chats</t>
  </si>
  <si>
    <t xml:space="preserve">Predict who might resign from what they ask. Why AI: Possible but a privacy breach; employees would stop asking. Evidence: employees want private answers Stage: S6</t>
  </si>
  <si>
    <t xml:space="preserve">4 Scoring</t>
  </si>
  <si>
    <t xml:space="preserve">Scoring rubric</t>
  </si>
  <si>
    <t xml:space="preserve">Impact (1-5): share of question volume + cost of a wrong answer avoided + fit to the CHRO, Legal and privacy goals. Feasibility (1-5): data available (policies, Workday fields) + maturity of the technique + cost of being wrong + build effort for 4 engineers in 2-week sprints. Score = Impact x Feasibility (max 25). Do first = Impact &gt;= 4 and Feasibility &gt;= 4.</t>
  </si>
  <si>
    <t xml:space="preserve">5 Impact x Feasibility 2x2</t>
  </si>
  <si>
    <t xml:space="preserve">I5 x F5 = 25</t>
  </si>
  <si>
    <t xml:space="preserve">green</t>
  </si>
  <si>
    <t xml:space="preserve">I5 x F4 = 20</t>
  </si>
  <si>
    <t xml:space="preserve">I4 x F5 = 20</t>
  </si>
  <si>
    <t xml:space="preserve">I4 x F4 = 16</t>
  </si>
  <si>
    <t xml:space="preserve">I4 x F3 = 12</t>
  </si>
  <si>
    <t xml:space="preserve">I3 x F4 = 12</t>
  </si>
  <si>
    <t xml:space="preserve">light_blue</t>
  </si>
  <si>
    <t xml:space="preserve">I2 x F2 = 4</t>
  </si>
  <si>
    <t xml:space="preserve">I1 x F2 = 2</t>
  </si>
  <si>
    <t xml:space="preserve">6 Should / Should NOT</t>
  </si>
  <si>
    <t xml:space="preserve">Should do</t>
  </si>
  <si>
    <t xml:space="preserve">Answer only from the employee's own country (plus global) policies that are live today.</t>
  </si>
  <si>
    <t xml:space="preserve">Take country, grade and employment type from Workday, never from the chat.</t>
  </si>
  <si>
    <t xml:space="preserve">Link every answer to the exact policy section, version and owner.</t>
  </si>
  <si>
    <t xml:space="preserve">Show both versions, labelled, when two are live (travel transition).</t>
  </si>
  <si>
    <t xml:space="preserve">Hand sensitive, legal and pay-problem questions to the right HR queue with a summary, and let the employee choose to send it.</t>
  </si>
  <si>
    <t xml:space="preserve">Offer the anonymous Speak Up line for harassment and grievances.</t>
  </si>
  <si>
    <t xml:space="preserve">Say 'I don't know' and offer an HR partner when the library has no answer.</t>
  </si>
  <si>
    <t xml:space="preserve">Answer in Hindi/Hinglish when asked that way.</t>
  </si>
  <si>
    <t xml:space="preserve">Should NOT do</t>
  </si>
  <si>
    <t xml:space="preserve">Give legal advice or an opinion on whether something is legal.</t>
  </si>
  <si>
    <t xml:space="preserve">Promise or confirm an entitlement ('I confirm you get 10 more days').</t>
  </si>
  <si>
    <t xml:space="preserve">Answer from another country's policy or a superseded version.</t>
  </si>
  <si>
    <t xml:space="preserve">Send sensitive messages (health, grievance, bereavement) to any AI model.</t>
  </si>
  <si>
    <t xml:space="preserve">Read or reveal anyone else's data (colleague's salary, manager's rating).</t>
  </si>
  <si>
    <t xml:space="preserve">Make decisions: approve leave, change pay, enrol in benefits.</t>
  </si>
  <si>
    <t xml:space="preserve">Learn from or store chat content in model training.</t>
  </si>
  <si>
    <t xml:space="preserve">Replace the HR partner relationship for sensitive cases.</t>
  </si>
  <si>
    <t xml:space="preserve">7 Feature to AI to Guardrails</t>
  </si>
  <si>
    <t xml:space="preserve">Table row</t>
  </si>
  <si>
    <t xml:space="preserve">F1 Profile + eligibility filter</t>
  </si>
  <si>
    <t xml:space="preserve">From: O2, O3 | AI capability: none (deterministic filter) + BM25/embedding retrieval | Inputs: Workday profile; policy library with metadata | Output: Only live, own-country sections; matching table row | Guardrails: Country, audience and effective dates are hard filters in code; superseded never searchable | Human in loop: Country lead owns metadata | Test: 100% of answers cite own-country, live sections (launch gate)</t>
  </si>
  <si>
    <t xml:space="preserve">violet</t>
  </si>
  <si>
    <t xml:space="preserve">F2 Safety triage + hand-off</t>
  </si>
  <si>
    <t xml:space="preserve">From: O6, O7 | AI capability: Rules (regex, Hindi terms) before any model; later a classifier | Inputs: Question text | Output: Route (answer / hand off / payroll / IT / refuse) + ticket with redacted summary | Guardrails: Sensitive text never sent to a model; crisis auto-routed with emergency numbers; ER tickets restricted | Human in loop: Employee approves the ticket; HRBP owns the case | Test: 100% of sensitive, legal and pay-problem test questions handed off (launch gate)</t>
  </si>
  <si>
    <t xml:space="preserve">F3 Grounded answer + verification</t>
  </si>
  <si>
    <t xml:space="preserve">From: O1, O5, O9 | AI capability: Grok drafts JSON (answer + citations); Claude Haiku fallback; extractive fallback | Inputs: Question + eligible sections + profile | Output: Short answer, section links, non-commitment wording | Guardrails: Must cite; numbers must appear in cited text; no promise or legal phrases; else quote the policy | Human in loop: Thumbs down goes to the policy owner | Test: Grounding checks 100%; facts &gt;= 90% on 80 labelled questions</t>
  </si>
  <si>
    <t xml:space="preserve">F4 Policy publishing + gap report</t>
  </si>
  <si>
    <t xml:space="preserve">From: O4, O11 | AI capability: Metadata suggestion + change summary; clustering of unanswered questions | Inputs: New policy file; logs of not-found and thumbs-down | Output: Published version with owner and dates; weekly gap report per country | Guardrails: Nothing goes live without owner approval; OCR text reviewed for scanned PDFs | Human in loop: Country HR lead approves | Test: Zero superseded documents live; gap report reviewed weekly</t>
  </si>
  <si>
    <t xml:space="preserve">Next (post-MVP)</t>
  </si>
  <si>
    <t xml:space="preserve">From: O8, O10, O12 | AI capability: Workday read API; HRBP draft replies; peak nudges | Inputs: Employee's own record | Output: Personal balance answers; HRBP drafts | Guardrails: Read-only, own record only, Security review | Human in loop: HRBP edits drafts | Test: Run after MVP meets the 60% deflection target</t>
  </si>
  <si>
    <t xml:space="preserve">8 Guardrails &amp; risks</t>
  </si>
  <si>
    <t xml:space="preserve">Global guardrail</t>
  </si>
  <si>
    <t xml:space="preserve">Grounded only: every answer cites a live section from the employee's own country.</t>
  </si>
  <si>
    <t xml:space="preserve">orange</t>
  </si>
  <si>
    <t xml:space="preserve">Sensitive first: safety rules run before any AI and cannot be overridden by the model.</t>
  </si>
  <si>
    <t xml:space="preserve">No commitments, no legal advice: answers are information; the contract and policy prevail (UK footer).</t>
  </si>
  <si>
    <t xml:space="preserve">Privacy by design: redaction before logging; approved providers only; no training on HR data; UK GDPR and DPDP retention limits.</t>
  </si>
  <si>
    <t xml:space="preserve">Human choice: the employee sees who will read a hand-off and can choose anonymity (Speak Up).</t>
  </si>
  <si>
    <t xml:space="preserve">Eval gate: a failing guardrail eval blocks deployment.</t>
  </si>
  <si>
    <t xml:space="preserve">Risk: Wrong-country or outdated answer</t>
  </si>
  <si>
    <t xml:space="preserve">Mitigation: Hard eligibility filter + version metadata + 100% gate in the eval</t>
  </si>
  <si>
    <t xml:space="preserve">Risk: Answer read as a promise (UK)</t>
  </si>
  <si>
    <t xml:space="preserve">Mitigation: Non-commitment wording; 'can't confirm' for confirmation requests; Legal-approved footer</t>
  </si>
  <si>
    <t xml:space="preserve">Risk: Sensitive message missed and answered by AI</t>
  </si>
  <si>
    <t xml:space="preserve">Mitigation: Broad rules tuned for recall; weekly review of hand-off misses; crisis auto-escalation</t>
  </si>
  <si>
    <t xml:space="preserve">Risk: Personal data leaks to logs or the model provider</t>
  </si>
  <si>
    <t xml:space="preserve">Mitigation: Redaction; sensitive text never sent; approved vendor with zero retention</t>
  </si>
  <si>
    <t xml:space="preserve">Risk: HRBPs lose context and trust</t>
  </si>
  <si>
    <t xml:space="preserve">Mitigation: Hand-off summary; HRBP draft mode; gap reports let them add client-specific rules</t>
  </si>
  <si>
    <t xml:space="preserve">Risk: Country leads don't keep content current</t>
  </si>
  <si>
    <t xml:space="preserve">Mitigation: Publishing form with owner and dates; stale-content alerts; usage stats per document</t>
  </si>
  <si>
    <t xml:space="preserve">9 Hand-off</t>
  </si>
  <si>
    <t xml:space="preserve">Step 3 PRD</t>
  </si>
  <si>
    <t xml:space="preserve">North Star candidate = % of policy questions resolved correctly without an HR partner (target 60% in 6 months), counted only when no hand-off follows within 7 days. Supporting: HRBP time on repeat questions (40% → 20%), wrong-answer rate (8% → &lt;1%), sensitive hand-off recall (100%), time to first answer (1.5 days → seconds), employee CSAT.</t>
  </si>
  <si>
    <t xml:space="preserve">ID</t>
  </si>
  <si>
    <t xml:space="preserve">Opportunity</t>
  </si>
  <si>
    <t xml:space="preserve">Impact (1-5)</t>
  </si>
  <si>
    <t xml:space="preserve">Feasibility (1-5)</t>
  </si>
  <si>
    <t xml:space="preserve">Score = I x F</t>
  </si>
  <si>
    <t xml:space="preserve">O1</t>
  </si>
  <si>
    <t xml:space="preserve">Grounded policy answers in Teams</t>
  </si>
  <si>
    <t xml:space="preserve">Profile-aware eligibility filter</t>
  </si>
  <si>
    <t xml:space="preserve">O3</t>
  </si>
  <si>
    <t xml:space="preserve">Version-aware retrieval</t>
  </si>
  <si>
    <t xml:space="preserve">O4</t>
  </si>
  <si>
    <t xml:space="preserve">Policy publishing with metadata</t>
  </si>
  <si>
    <t xml:space="preserve">O5</t>
  </si>
  <si>
    <t xml:space="preserve">Answer verification guard</t>
  </si>
  <si>
    <t xml:space="preserve">O6</t>
  </si>
  <si>
    <t xml:space="preserve">Sensitive-topic triage and hand-off</t>
  </si>
  <si>
    <t xml:space="preserve">O7</t>
  </si>
  <si>
    <t xml:space="preserve">Privacy redaction</t>
  </si>
  <si>
    <t xml:space="preserve">Leave balance lookup (Workday)</t>
  </si>
  <si>
    <t xml:space="preserve">O9</t>
  </si>
  <si>
    <t xml:space="preserve">Hindi / Hinglish answers</t>
  </si>
  <si>
    <t xml:space="preserve">O10</t>
  </si>
  <si>
    <t xml:space="preserve">HRBP draft replies for the remaining queue</t>
  </si>
  <si>
    <t xml:space="preserve">O11</t>
  </si>
  <si>
    <t xml:space="preserve">Content gap and conflict detector</t>
  </si>
  <si>
    <t xml:space="preserve">O12</t>
  </si>
  <si>
    <t xml:space="preserve">Proactive peak nudges</t>
  </si>
  <si>
    <t xml:space="preserve">O13</t>
  </si>
  <si>
    <t xml:space="preserve">Auto-answer from old tickets</t>
  </si>
  <si>
    <t xml:space="preserve">O14</t>
  </si>
  <si>
    <t xml:space="preserve">AI handles grievances or gives legal opinions</t>
  </si>
  <si>
    <t xml:space="preserve">O15</t>
  </si>
  <si>
    <t xml:space="preserve">Sentiment-based attrition prediction from chats</t>
  </si>
  <si>
    <t xml:space="preserve">Blue = editable scores; Score and Quadrant recalculate. Rubric: see 'Opportunity Map' frame 4.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</si>
</sst>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B1B3A"/>
        <bgColor rgb="FF003366"/>
      </patternFill>
    </fill>
    <fill>
      <patternFill patternType="solid">
        <fgColor rgb="FFFFF4B3"/>
        <bgColor rgb="FFFCE1C8"/>
      </patternFill>
    </fill>
    <fill>
      <patternFill patternType="solid">
        <fgColor rgb="FFE7E7E7"/>
        <bgColor rgb="FFE6DDF7"/>
      </patternFill>
    </fill>
    <fill>
      <patternFill patternType="solid">
        <fgColor rgb="FFFAD4D4"/>
        <bgColor rgb="FFFCE1C8"/>
      </patternFill>
    </fill>
    <fill>
      <patternFill patternType="solid">
        <fgColor rgb="FFDDF2D5"/>
        <bgColor rgb="FFE7E7E7"/>
      </patternFill>
    </fill>
    <fill>
      <patternFill patternType="solid">
        <fgColor rgb="FFD6E4FA"/>
        <bgColor rgb="FFD8EEF7"/>
      </patternFill>
    </fill>
    <fill>
      <patternFill patternType="solid">
        <fgColor rgb="FFBFE6C4"/>
        <bgColor rgb="FFDDF2D5"/>
      </patternFill>
    </fill>
    <fill>
      <patternFill patternType="solid">
        <fgColor rgb="FFD8EEF7"/>
        <bgColor rgb="FFD6E4FA"/>
      </patternFill>
    </fill>
    <fill>
      <patternFill patternType="solid">
        <fgColor rgb="FFE6DDF7"/>
        <bgColor rgb="FFE7E7E7"/>
      </patternFill>
    </fill>
    <fill>
      <patternFill patternType="solid">
        <fgColor rgb="FFFCE1C8"/>
        <bgColor rgb="FFFAD4D4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9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1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11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B1B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FE6C4"/>
          <bgColor rgb="FF000000"/>
        </patternFill>
      </fill>
    </dxf>
    <dxf>
      <fill>
        <patternFill patternType="solid">
          <fgColor rgb="FFD6E4FA"/>
          <bgColor rgb="FF000000"/>
        </patternFill>
      </fill>
    </dxf>
    <dxf>
      <fill>
        <patternFill patternType="solid">
          <fgColor rgb="FFD8EEF7"/>
          <bgColor rgb="FF000000"/>
        </patternFill>
      </fill>
    </dxf>
    <dxf>
      <fill>
        <patternFill patternType="solid">
          <fgColor rgb="FFDDF2D5"/>
          <bgColor rgb="FF000000"/>
        </patternFill>
      </fill>
    </dxf>
    <dxf>
      <fill>
        <patternFill patternType="solid">
          <fgColor rgb="FFE6DDF7"/>
          <bgColor rgb="FF000000"/>
        </patternFill>
      </fill>
    </dxf>
    <dxf>
      <fill>
        <patternFill patternType="solid">
          <fgColor rgb="FFE7E7E7"/>
          <bgColor rgb="FF000000"/>
        </patternFill>
      </fill>
    </dxf>
    <dxf>
      <fill>
        <patternFill patternType="solid">
          <fgColor rgb="FFFAD4D4"/>
          <bgColor rgb="FF000000"/>
        </patternFill>
      </fill>
    </dxf>
    <dxf>
      <fill>
        <patternFill patternType="solid">
          <fgColor rgb="FFFCE1C8"/>
          <bgColor rgb="FF000000"/>
        </patternFill>
      </fill>
    </dxf>
    <dxf>
      <fill>
        <patternFill patternType="solid">
          <fgColor rgb="FFFFF4B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E6C4"/>
      <rgbColor rgb="FF808080"/>
      <rgbColor rgb="FF9999FF"/>
      <rgbColor rgb="FF993366"/>
      <rgbColor rgb="FFFFF4B3"/>
      <rgbColor rgb="FFD8EEF7"/>
      <rgbColor rgb="FF660066"/>
      <rgbColor rgb="FFFF8080"/>
      <rgbColor rgb="FF0066CC"/>
      <rgbColor rgb="FFD6E4F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7E7"/>
      <rgbColor rgb="FFDDF2D5"/>
      <rgbColor rgb="FFFCE1C8"/>
      <rgbColor rgb="FFE6DDF7"/>
      <rgbColor rgb="FFFF99CC"/>
      <rgbColor rgb="FFCC99FF"/>
      <rgbColor rgb="FFFAD4D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B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90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7"/>
    <col collapsed="false" customWidth="true" hidden="false" outlineLevel="0" max="9" min="9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35.0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3" t="s">
        <v>13</v>
      </c>
      <c r="F2" s="2"/>
      <c r="G2" s="2"/>
      <c r="H2" s="2"/>
      <c r="I2" s="2"/>
    </row>
    <row r="3" customFormat="false" ht="35.05" hidden="false" customHeight="false" outlineLevel="0" collapsed="false">
      <c r="A3" s="2" t="s">
        <v>9</v>
      </c>
      <c r="B3" s="2" t="s">
        <v>10</v>
      </c>
      <c r="C3" s="2" t="s">
        <v>14</v>
      </c>
      <c r="D3" s="2" t="s">
        <v>15</v>
      </c>
      <c r="E3" s="3" t="s">
        <v>13</v>
      </c>
      <c r="F3" s="2"/>
      <c r="G3" s="2"/>
      <c r="H3" s="2"/>
      <c r="I3" s="2"/>
    </row>
    <row r="4" customFormat="false" ht="46.25" hidden="false" customHeight="false" outlineLevel="0" collapsed="false">
      <c r="A4" s="2" t="s">
        <v>9</v>
      </c>
      <c r="B4" s="2" t="s">
        <v>10</v>
      </c>
      <c r="C4" s="2" t="s">
        <v>16</v>
      </c>
      <c r="D4" s="2" t="s">
        <v>17</v>
      </c>
      <c r="E4" s="3" t="s">
        <v>13</v>
      </c>
      <c r="F4" s="2"/>
      <c r="G4" s="2"/>
      <c r="H4" s="2"/>
      <c r="I4" s="2"/>
    </row>
    <row r="5" customFormat="false" ht="35.05" hidden="false" customHeight="false" outlineLevel="0" collapsed="false">
      <c r="A5" s="2" t="s">
        <v>9</v>
      </c>
      <c r="B5" s="2" t="s">
        <v>10</v>
      </c>
      <c r="C5" s="2" t="s">
        <v>18</v>
      </c>
      <c r="D5" s="2" t="s">
        <v>19</v>
      </c>
      <c r="E5" s="3" t="s">
        <v>13</v>
      </c>
      <c r="F5" s="2"/>
      <c r="G5" s="2"/>
      <c r="H5" s="2"/>
      <c r="I5" s="2"/>
    </row>
    <row r="6" customFormat="false" ht="15" hidden="false" customHeight="false" outlineLevel="0" collapsed="false">
      <c r="A6" s="2" t="s">
        <v>20</v>
      </c>
      <c r="B6" s="2" t="s">
        <v>10</v>
      </c>
      <c r="C6" s="2" t="s">
        <v>21</v>
      </c>
      <c r="D6" s="2" t="s">
        <v>22</v>
      </c>
      <c r="E6" s="4" t="s">
        <v>23</v>
      </c>
      <c r="F6" s="2"/>
      <c r="G6" s="2"/>
      <c r="H6" s="2"/>
      <c r="I6" s="2"/>
    </row>
    <row r="7" customFormat="false" ht="15" hidden="false" customHeight="false" outlineLevel="0" collapsed="false">
      <c r="A7" s="2" t="s">
        <v>20</v>
      </c>
      <c r="B7" s="2" t="s">
        <v>10</v>
      </c>
      <c r="C7" s="2" t="s">
        <v>24</v>
      </c>
      <c r="D7" s="2" t="s">
        <v>25</v>
      </c>
      <c r="E7" s="5" t="s">
        <v>26</v>
      </c>
      <c r="F7" s="2"/>
      <c r="G7" s="2"/>
      <c r="H7" s="2"/>
      <c r="I7" s="2"/>
    </row>
    <row r="8" customFormat="false" ht="15" hidden="false" customHeight="false" outlineLevel="0" collapsed="false">
      <c r="A8" s="2" t="s">
        <v>20</v>
      </c>
      <c r="B8" s="2" t="s">
        <v>10</v>
      </c>
      <c r="C8" s="2" t="s">
        <v>27</v>
      </c>
      <c r="D8" s="2" t="s">
        <v>28</v>
      </c>
      <c r="E8" s="6" t="s">
        <v>29</v>
      </c>
      <c r="F8" s="2"/>
      <c r="G8" s="2"/>
      <c r="H8" s="2"/>
      <c r="I8" s="2"/>
    </row>
    <row r="9" customFormat="false" ht="15" hidden="false" customHeight="false" outlineLevel="0" collapsed="false">
      <c r="A9" s="2" t="s">
        <v>20</v>
      </c>
      <c r="B9" s="2" t="s">
        <v>10</v>
      </c>
      <c r="C9" s="2" t="s">
        <v>30</v>
      </c>
      <c r="D9" s="2" t="s">
        <v>31</v>
      </c>
      <c r="E9" s="4" t="s">
        <v>23</v>
      </c>
      <c r="F9" s="2"/>
      <c r="G9" s="2"/>
      <c r="H9" s="2"/>
      <c r="I9" s="2"/>
    </row>
    <row r="10" customFormat="false" ht="15" hidden="false" customHeight="false" outlineLevel="0" collapsed="false">
      <c r="A10" s="2" t="s">
        <v>20</v>
      </c>
      <c r="B10" s="2" t="s">
        <v>10</v>
      </c>
      <c r="C10" s="2" t="s">
        <v>32</v>
      </c>
      <c r="D10" s="2" t="s">
        <v>33</v>
      </c>
      <c r="E10" s="5" t="s">
        <v>26</v>
      </c>
      <c r="F10" s="2"/>
      <c r="G10" s="2"/>
      <c r="H10" s="2"/>
      <c r="I10" s="2"/>
    </row>
    <row r="11" customFormat="false" ht="23.85" hidden="false" customHeight="false" outlineLevel="0" collapsed="false">
      <c r="A11" s="2" t="s">
        <v>20</v>
      </c>
      <c r="B11" s="2" t="s">
        <v>10</v>
      </c>
      <c r="C11" s="2" t="s">
        <v>34</v>
      </c>
      <c r="D11" s="2" t="s">
        <v>35</v>
      </c>
      <c r="E11" s="6" t="s">
        <v>29</v>
      </c>
      <c r="F11" s="2"/>
      <c r="G11" s="2"/>
      <c r="H11" s="2"/>
      <c r="I11" s="2"/>
    </row>
    <row r="12" customFormat="false" ht="15" hidden="false" customHeight="false" outlineLevel="0" collapsed="false">
      <c r="A12" s="2" t="s">
        <v>20</v>
      </c>
      <c r="B12" s="2" t="s">
        <v>10</v>
      </c>
      <c r="C12" s="2" t="s">
        <v>36</v>
      </c>
      <c r="D12" s="2" t="s">
        <v>37</v>
      </c>
      <c r="E12" s="4" t="s">
        <v>23</v>
      </c>
      <c r="F12" s="2"/>
      <c r="G12" s="2"/>
      <c r="H12" s="2"/>
      <c r="I12" s="2"/>
    </row>
    <row r="13" customFormat="false" ht="23.85" hidden="false" customHeight="false" outlineLevel="0" collapsed="false">
      <c r="A13" s="2" t="s">
        <v>20</v>
      </c>
      <c r="B13" s="2" t="s">
        <v>10</v>
      </c>
      <c r="C13" s="2" t="s">
        <v>38</v>
      </c>
      <c r="D13" s="2" t="s">
        <v>39</v>
      </c>
      <c r="E13" s="5" t="s">
        <v>26</v>
      </c>
      <c r="F13" s="2"/>
      <c r="G13" s="2"/>
      <c r="H13" s="2"/>
      <c r="I13" s="2"/>
    </row>
    <row r="14" customFormat="false" ht="15" hidden="false" customHeight="false" outlineLevel="0" collapsed="false">
      <c r="A14" s="2" t="s">
        <v>20</v>
      </c>
      <c r="B14" s="2" t="s">
        <v>10</v>
      </c>
      <c r="C14" s="2" t="s">
        <v>40</v>
      </c>
      <c r="D14" s="2" t="s">
        <v>41</v>
      </c>
      <c r="E14" s="6" t="s">
        <v>29</v>
      </c>
      <c r="F14" s="2"/>
      <c r="G14" s="2"/>
      <c r="H14" s="2"/>
      <c r="I14" s="2"/>
    </row>
    <row r="15" customFormat="false" ht="15" hidden="false" customHeight="false" outlineLevel="0" collapsed="false">
      <c r="A15" s="2" t="s">
        <v>20</v>
      </c>
      <c r="B15" s="2" t="s">
        <v>10</v>
      </c>
      <c r="C15" s="2" t="s">
        <v>42</v>
      </c>
      <c r="D15" s="2" t="s">
        <v>43</v>
      </c>
      <c r="E15" s="4" t="s">
        <v>23</v>
      </c>
      <c r="F15" s="2"/>
      <c r="G15" s="2"/>
      <c r="H15" s="2"/>
      <c r="I15" s="2"/>
    </row>
    <row r="16" customFormat="false" ht="15" hidden="false" customHeight="false" outlineLevel="0" collapsed="false">
      <c r="A16" s="2" t="s">
        <v>20</v>
      </c>
      <c r="B16" s="2" t="s">
        <v>10</v>
      </c>
      <c r="C16" s="2" t="s">
        <v>44</v>
      </c>
      <c r="D16" s="2" t="s">
        <v>45</v>
      </c>
      <c r="E16" s="5" t="s">
        <v>26</v>
      </c>
      <c r="F16" s="2"/>
      <c r="G16" s="2"/>
      <c r="H16" s="2"/>
      <c r="I16" s="2"/>
    </row>
    <row r="17" customFormat="false" ht="15" hidden="false" customHeight="false" outlineLevel="0" collapsed="false">
      <c r="A17" s="2" t="s">
        <v>20</v>
      </c>
      <c r="B17" s="2" t="s">
        <v>10</v>
      </c>
      <c r="C17" s="2" t="s">
        <v>46</v>
      </c>
      <c r="D17" s="2" t="s">
        <v>47</v>
      </c>
      <c r="E17" s="6" t="s">
        <v>29</v>
      </c>
      <c r="F17" s="2"/>
      <c r="G17" s="2"/>
      <c r="H17" s="2"/>
      <c r="I17" s="2"/>
    </row>
    <row r="18" customFormat="false" ht="15" hidden="false" customHeight="false" outlineLevel="0" collapsed="false">
      <c r="A18" s="2" t="s">
        <v>20</v>
      </c>
      <c r="B18" s="2" t="s">
        <v>10</v>
      </c>
      <c r="C18" s="2" t="s">
        <v>48</v>
      </c>
      <c r="D18" s="2" t="s">
        <v>49</v>
      </c>
      <c r="E18" s="4" t="s">
        <v>23</v>
      </c>
      <c r="F18" s="2"/>
      <c r="G18" s="2"/>
      <c r="H18" s="2"/>
      <c r="I18" s="2"/>
    </row>
    <row r="19" customFormat="false" ht="15" hidden="false" customHeight="false" outlineLevel="0" collapsed="false">
      <c r="A19" s="2" t="s">
        <v>20</v>
      </c>
      <c r="B19" s="2" t="s">
        <v>10</v>
      </c>
      <c r="C19" s="2" t="s">
        <v>50</v>
      </c>
      <c r="D19" s="2" t="s">
        <v>51</v>
      </c>
      <c r="E19" s="5" t="s">
        <v>26</v>
      </c>
      <c r="F19" s="2"/>
      <c r="G19" s="2"/>
      <c r="H19" s="2"/>
      <c r="I19" s="2"/>
    </row>
    <row r="20" customFormat="false" ht="15" hidden="false" customHeight="false" outlineLevel="0" collapsed="false">
      <c r="A20" s="2" t="s">
        <v>20</v>
      </c>
      <c r="B20" s="2" t="s">
        <v>10</v>
      </c>
      <c r="C20" s="2" t="s">
        <v>52</v>
      </c>
      <c r="D20" s="2" t="s">
        <v>53</v>
      </c>
      <c r="E20" s="6" t="s">
        <v>29</v>
      </c>
      <c r="F20" s="2"/>
      <c r="G20" s="2"/>
      <c r="H20" s="2"/>
      <c r="I20" s="2"/>
    </row>
    <row r="21" customFormat="false" ht="15" hidden="false" customHeight="false" outlineLevel="0" collapsed="false">
      <c r="A21" s="2" t="s">
        <v>20</v>
      </c>
      <c r="B21" s="2" t="s">
        <v>10</v>
      </c>
      <c r="C21" s="2" t="s">
        <v>54</v>
      </c>
      <c r="D21" s="2" t="s">
        <v>55</v>
      </c>
      <c r="E21" s="4" t="s">
        <v>23</v>
      </c>
      <c r="F21" s="2"/>
      <c r="G21" s="2"/>
      <c r="H21" s="2"/>
      <c r="I21" s="2"/>
    </row>
    <row r="22" customFormat="false" ht="23.85" hidden="false" customHeight="false" outlineLevel="0" collapsed="false">
      <c r="A22" s="2" t="s">
        <v>20</v>
      </c>
      <c r="B22" s="2" t="s">
        <v>10</v>
      </c>
      <c r="C22" s="2" t="s">
        <v>56</v>
      </c>
      <c r="D22" s="2" t="s">
        <v>57</v>
      </c>
      <c r="E22" s="5" t="s">
        <v>26</v>
      </c>
      <c r="F22" s="2"/>
      <c r="G22" s="2"/>
      <c r="H22" s="2"/>
      <c r="I22" s="2"/>
    </row>
    <row r="23" customFormat="false" ht="23.85" hidden="false" customHeight="false" outlineLevel="0" collapsed="false">
      <c r="A23" s="2" t="s">
        <v>20</v>
      </c>
      <c r="B23" s="2" t="s">
        <v>10</v>
      </c>
      <c r="C23" s="2" t="s">
        <v>58</v>
      </c>
      <c r="D23" s="2" t="s">
        <v>59</v>
      </c>
      <c r="E23" s="6" t="s">
        <v>29</v>
      </c>
      <c r="F23" s="2"/>
      <c r="G23" s="2"/>
      <c r="H23" s="2"/>
      <c r="I23" s="2"/>
    </row>
    <row r="24" customFormat="false" ht="15" hidden="false" customHeight="false" outlineLevel="0" collapsed="false">
      <c r="A24" s="2" t="s">
        <v>20</v>
      </c>
      <c r="B24" s="2" t="s">
        <v>10</v>
      </c>
      <c r="C24" s="2" t="s">
        <v>60</v>
      </c>
      <c r="D24" s="2" t="s">
        <v>61</v>
      </c>
      <c r="E24" s="4" t="s">
        <v>23</v>
      </c>
      <c r="F24" s="2"/>
      <c r="G24" s="2"/>
      <c r="H24" s="2"/>
      <c r="I24" s="2"/>
    </row>
    <row r="25" customFormat="false" ht="15" hidden="false" customHeight="false" outlineLevel="0" collapsed="false">
      <c r="A25" s="2" t="s">
        <v>20</v>
      </c>
      <c r="B25" s="2" t="s">
        <v>10</v>
      </c>
      <c r="C25" s="2" t="s">
        <v>62</v>
      </c>
      <c r="D25" s="2" t="s">
        <v>63</v>
      </c>
      <c r="E25" s="5" t="s">
        <v>26</v>
      </c>
      <c r="F25" s="2"/>
      <c r="G25" s="2"/>
      <c r="H25" s="2"/>
      <c r="I25" s="2"/>
    </row>
    <row r="26" customFormat="false" ht="15" hidden="false" customHeight="false" outlineLevel="0" collapsed="false">
      <c r="A26" s="2" t="s">
        <v>20</v>
      </c>
      <c r="B26" s="2" t="s">
        <v>10</v>
      </c>
      <c r="C26" s="2" t="s">
        <v>64</v>
      </c>
      <c r="D26" s="2" t="s">
        <v>65</v>
      </c>
      <c r="E26" s="6" t="s">
        <v>29</v>
      </c>
      <c r="F26" s="2"/>
      <c r="G26" s="2"/>
      <c r="H26" s="2"/>
      <c r="I26" s="2"/>
    </row>
    <row r="27" customFormat="false" ht="46.25" hidden="false" customHeight="false" outlineLevel="0" collapsed="false">
      <c r="A27" s="2" t="s">
        <v>66</v>
      </c>
      <c r="B27" s="2" t="s">
        <v>67</v>
      </c>
      <c r="C27" s="2" t="s">
        <v>68</v>
      </c>
      <c r="D27" s="2" t="s">
        <v>69</v>
      </c>
      <c r="E27" s="7" t="s">
        <v>70</v>
      </c>
      <c r="F27" s="2" t="n">
        <v>5</v>
      </c>
      <c r="G27" s="2" t="n">
        <v>4</v>
      </c>
      <c r="H27" s="2" t="n">
        <v>20</v>
      </c>
      <c r="I27" s="2" t="s">
        <v>71</v>
      </c>
    </row>
    <row r="28" customFormat="false" ht="35.05" hidden="false" customHeight="false" outlineLevel="0" collapsed="false">
      <c r="A28" s="2" t="s">
        <v>66</v>
      </c>
      <c r="B28" s="2" t="s">
        <v>67</v>
      </c>
      <c r="C28" s="2" t="s">
        <v>72</v>
      </c>
      <c r="D28" s="2" t="s">
        <v>73</v>
      </c>
      <c r="E28" s="7" t="s">
        <v>70</v>
      </c>
      <c r="F28" s="2" t="n">
        <v>5</v>
      </c>
      <c r="G28" s="2" t="n">
        <v>5</v>
      </c>
      <c r="H28" s="2" t="n">
        <v>25</v>
      </c>
      <c r="I28" s="2" t="s">
        <v>71</v>
      </c>
    </row>
    <row r="29" customFormat="false" ht="35.05" hidden="false" customHeight="false" outlineLevel="0" collapsed="false">
      <c r="A29" s="2" t="s">
        <v>66</v>
      </c>
      <c r="B29" s="2" t="s">
        <v>67</v>
      </c>
      <c r="C29" s="2" t="s">
        <v>74</v>
      </c>
      <c r="D29" s="2" t="s">
        <v>75</v>
      </c>
      <c r="E29" s="7" t="s">
        <v>70</v>
      </c>
      <c r="F29" s="2" t="n">
        <v>5</v>
      </c>
      <c r="G29" s="2" t="n">
        <v>4</v>
      </c>
      <c r="H29" s="2" t="n">
        <v>20</v>
      </c>
      <c r="I29" s="2" t="s">
        <v>71</v>
      </c>
    </row>
    <row r="30" customFormat="false" ht="35.05" hidden="false" customHeight="false" outlineLevel="0" collapsed="false">
      <c r="A30" s="2" t="s">
        <v>66</v>
      </c>
      <c r="B30" s="2" t="s">
        <v>67</v>
      </c>
      <c r="C30" s="2" t="s">
        <v>76</v>
      </c>
      <c r="D30" s="2" t="s">
        <v>77</v>
      </c>
      <c r="E30" s="7" t="s">
        <v>70</v>
      </c>
      <c r="F30" s="2" t="n">
        <v>4</v>
      </c>
      <c r="G30" s="2" t="n">
        <v>4</v>
      </c>
      <c r="H30" s="2" t="n">
        <v>16</v>
      </c>
      <c r="I30" s="2" t="s">
        <v>71</v>
      </c>
    </row>
    <row r="31" customFormat="false" ht="35.05" hidden="false" customHeight="false" outlineLevel="0" collapsed="false">
      <c r="A31" s="2" t="s">
        <v>66</v>
      </c>
      <c r="B31" s="2" t="s">
        <v>67</v>
      </c>
      <c r="C31" s="2" t="s">
        <v>78</v>
      </c>
      <c r="D31" s="2" t="s">
        <v>79</v>
      </c>
      <c r="E31" s="7" t="s">
        <v>70</v>
      </c>
      <c r="F31" s="2" t="n">
        <v>5</v>
      </c>
      <c r="G31" s="2" t="n">
        <v>5</v>
      </c>
      <c r="H31" s="2" t="n">
        <v>25</v>
      </c>
      <c r="I31" s="2" t="s">
        <v>71</v>
      </c>
    </row>
    <row r="32" customFormat="false" ht="46.25" hidden="false" customHeight="false" outlineLevel="0" collapsed="false">
      <c r="A32" s="2" t="s">
        <v>66</v>
      </c>
      <c r="B32" s="2" t="s">
        <v>67</v>
      </c>
      <c r="C32" s="2" t="s">
        <v>80</v>
      </c>
      <c r="D32" s="2" t="s">
        <v>81</v>
      </c>
      <c r="E32" s="7" t="s">
        <v>70</v>
      </c>
      <c r="F32" s="2" t="n">
        <v>5</v>
      </c>
      <c r="G32" s="2" t="n">
        <v>4</v>
      </c>
      <c r="H32" s="2" t="n">
        <v>20</v>
      </c>
      <c r="I32" s="2" t="s">
        <v>71</v>
      </c>
    </row>
    <row r="33" customFormat="false" ht="35.05" hidden="false" customHeight="false" outlineLevel="0" collapsed="false">
      <c r="A33" s="2" t="s">
        <v>66</v>
      </c>
      <c r="B33" s="2" t="s">
        <v>67</v>
      </c>
      <c r="C33" s="2" t="s">
        <v>82</v>
      </c>
      <c r="D33" s="2" t="s">
        <v>83</v>
      </c>
      <c r="E33" s="7" t="s">
        <v>70</v>
      </c>
      <c r="F33" s="2" t="n">
        <v>4</v>
      </c>
      <c r="G33" s="2" t="n">
        <v>5</v>
      </c>
      <c r="H33" s="2" t="n">
        <v>20</v>
      </c>
      <c r="I33" s="2" t="s">
        <v>71</v>
      </c>
    </row>
    <row r="34" customFormat="false" ht="35.05" hidden="false" customHeight="false" outlineLevel="0" collapsed="false">
      <c r="A34" s="2" t="s">
        <v>66</v>
      </c>
      <c r="B34" s="2" t="s">
        <v>67</v>
      </c>
      <c r="C34" s="2" t="s">
        <v>84</v>
      </c>
      <c r="D34" s="2" t="s">
        <v>85</v>
      </c>
      <c r="E34" s="7" t="s">
        <v>70</v>
      </c>
      <c r="F34" s="2" t="n">
        <v>4</v>
      </c>
      <c r="G34" s="2" t="n">
        <v>3</v>
      </c>
      <c r="H34" s="2" t="n">
        <v>12</v>
      </c>
      <c r="I34" s="2" t="s">
        <v>86</v>
      </c>
    </row>
    <row r="35" customFormat="false" ht="23.85" hidden="false" customHeight="false" outlineLevel="0" collapsed="false">
      <c r="A35" s="2" t="s">
        <v>66</v>
      </c>
      <c r="B35" s="2" t="s">
        <v>67</v>
      </c>
      <c r="C35" s="2" t="s">
        <v>87</v>
      </c>
      <c r="D35" s="2" t="s">
        <v>88</v>
      </c>
      <c r="E35" s="7" t="s">
        <v>70</v>
      </c>
      <c r="F35" s="2" t="n">
        <v>3</v>
      </c>
      <c r="G35" s="2" t="n">
        <v>4</v>
      </c>
      <c r="H35" s="2" t="n">
        <v>12</v>
      </c>
      <c r="I35" s="2" t="s">
        <v>89</v>
      </c>
    </row>
    <row r="36" customFormat="false" ht="23.85" hidden="false" customHeight="false" outlineLevel="0" collapsed="false">
      <c r="A36" s="2" t="s">
        <v>66</v>
      </c>
      <c r="B36" s="2" t="s">
        <v>67</v>
      </c>
      <c r="C36" s="2" t="s">
        <v>90</v>
      </c>
      <c r="D36" s="2" t="s">
        <v>91</v>
      </c>
      <c r="E36" s="7" t="s">
        <v>70</v>
      </c>
      <c r="F36" s="2" t="n">
        <v>3</v>
      </c>
      <c r="G36" s="2" t="n">
        <v>4</v>
      </c>
      <c r="H36" s="2" t="n">
        <v>12</v>
      </c>
      <c r="I36" s="2" t="s">
        <v>89</v>
      </c>
    </row>
    <row r="37" customFormat="false" ht="35.05" hidden="false" customHeight="false" outlineLevel="0" collapsed="false">
      <c r="A37" s="2" t="s">
        <v>66</v>
      </c>
      <c r="B37" s="2" t="s">
        <v>67</v>
      </c>
      <c r="C37" s="2" t="s">
        <v>92</v>
      </c>
      <c r="D37" s="2" t="s">
        <v>93</v>
      </c>
      <c r="E37" s="7" t="s">
        <v>70</v>
      </c>
      <c r="F37" s="2" t="n">
        <v>3</v>
      </c>
      <c r="G37" s="2" t="n">
        <v>4</v>
      </c>
      <c r="H37" s="2" t="n">
        <v>12</v>
      </c>
      <c r="I37" s="2" t="s">
        <v>89</v>
      </c>
    </row>
    <row r="38" customFormat="false" ht="23.85" hidden="false" customHeight="false" outlineLevel="0" collapsed="false">
      <c r="A38" s="2" t="s">
        <v>66</v>
      </c>
      <c r="B38" s="2" t="s">
        <v>67</v>
      </c>
      <c r="C38" s="2" t="s">
        <v>94</v>
      </c>
      <c r="D38" s="2" t="s">
        <v>95</v>
      </c>
      <c r="E38" s="7" t="s">
        <v>70</v>
      </c>
      <c r="F38" s="2" t="n">
        <v>3</v>
      </c>
      <c r="G38" s="2" t="n">
        <v>4</v>
      </c>
      <c r="H38" s="2" t="n">
        <v>12</v>
      </c>
      <c r="I38" s="2" t="s">
        <v>89</v>
      </c>
    </row>
    <row r="39" customFormat="false" ht="23.85" hidden="false" customHeight="false" outlineLevel="0" collapsed="false">
      <c r="A39" s="2" t="s">
        <v>66</v>
      </c>
      <c r="B39" s="2" t="s">
        <v>67</v>
      </c>
      <c r="C39" s="2" t="s">
        <v>96</v>
      </c>
      <c r="D39" s="2" t="s">
        <v>97</v>
      </c>
      <c r="E39" s="7" t="s">
        <v>70</v>
      </c>
      <c r="F39" s="2" t="n">
        <v>2</v>
      </c>
      <c r="G39" s="2" t="n">
        <v>2</v>
      </c>
      <c r="H39" s="2" t="n">
        <v>4</v>
      </c>
      <c r="I39" s="2" t="s">
        <v>98</v>
      </c>
    </row>
    <row r="40" customFormat="false" ht="23.85" hidden="false" customHeight="false" outlineLevel="0" collapsed="false">
      <c r="A40" s="2" t="s">
        <v>66</v>
      </c>
      <c r="B40" s="2" t="s">
        <v>67</v>
      </c>
      <c r="C40" s="2" t="s">
        <v>99</v>
      </c>
      <c r="D40" s="2" t="s">
        <v>100</v>
      </c>
      <c r="E40" s="7" t="s">
        <v>70</v>
      </c>
      <c r="F40" s="2" t="n">
        <v>1</v>
      </c>
      <c r="G40" s="2" t="n">
        <v>2</v>
      </c>
      <c r="H40" s="2" t="n">
        <v>2</v>
      </c>
      <c r="I40" s="2" t="s">
        <v>98</v>
      </c>
    </row>
    <row r="41" customFormat="false" ht="23.85" hidden="false" customHeight="false" outlineLevel="0" collapsed="false">
      <c r="A41" s="2" t="s">
        <v>66</v>
      </c>
      <c r="B41" s="2" t="s">
        <v>67</v>
      </c>
      <c r="C41" s="2" t="s">
        <v>101</v>
      </c>
      <c r="D41" s="2" t="s">
        <v>102</v>
      </c>
      <c r="E41" s="7" t="s">
        <v>70</v>
      </c>
      <c r="F41" s="2" t="n">
        <v>1</v>
      </c>
      <c r="G41" s="2" t="n">
        <v>2</v>
      </c>
      <c r="H41" s="2" t="n">
        <v>2</v>
      </c>
      <c r="I41" s="2" t="s">
        <v>98</v>
      </c>
    </row>
    <row r="42" customFormat="false" ht="46.25" hidden="false" customHeight="false" outlineLevel="0" collapsed="false">
      <c r="A42" s="2" t="s">
        <v>103</v>
      </c>
      <c r="B42" s="2" t="s">
        <v>10</v>
      </c>
      <c r="C42" s="2" t="s">
        <v>104</v>
      </c>
      <c r="D42" s="2" t="s">
        <v>105</v>
      </c>
      <c r="E42" s="3" t="s">
        <v>13</v>
      </c>
      <c r="F42" s="2"/>
      <c r="G42" s="2"/>
      <c r="H42" s="2"/>
      <c r="I42" s="2"/>
    </row>
    <row r="43" customFormat="false" ht="15" hidden="false" customHeight="false" outlineLevel="0" collapsed="false">
      <c r="A43" s="2" t="s">
        <v>106</v>
      </c>
      <c r="B43" s="2" t="s">
        <v>10</v>
      </c>
      <c r="C43" s="2" t="s">
        <v>72</v>
      </c>
      <c r="D43" s="2" t="s">
        <v>107</v>
      </c>
      <c r="E43" s="8" t="s">
        <v>108</v>
      </c>
      <c r="F43" s="2" t="n">
        <v>5</v>
      </c>
      <c r="G43" s="2" t="n">
        <v>5</v>
      </c>
      <c r="H43" s="2" t="n">
        <v>25</v>
      </c>
      <c r="I43" s="2" t="s">
        <v>71</v>
      </c>
    </row>
    <row r="44" customFormat="false" ht="15" hidden="false" customHeight="false" outlineLevel="0" collapsed="false">
      <c r="A44" s="2" t="s">
        <v>106</v>
      </c>
      <c r="B44" s="2" t="s">
        <v>10</v>
      </c>
      <c r="C44" s="2" t="s">
        <v>78</v>
      </c>
      <c r="D44" s="2" t="s">
        <v>107</v>
      </c>
      <c r="E44" s="8" t="s">
        <v>108</v>
      </c>
      <c r="F44" s="2" t="n">
        <v>5</v>
      </c>
      <c r="G44" s="2" t="n">
        <v>5</v>
      </c>
      <c r="H44" s="2" t="n">
        <v>25</v>
      </c>
      <c r="I44" s="2" t="s">
        <v>71</v>
      </c>
    </row>
    <row r="45" customFormat="false" ht="15" hidden="false" customHeight="false" outlineLevel="0" collapsed="false">
      <c r="A45" s="2" t="s">
        <v>106</v>
      </c>
      <c r="B45" s="2" t="s">
        <v>10</v>
      </c>
      <c r="C45" s="2" t="s">
        <v>68</v>
      </c>
      <c r="D45" s="2" t="s">
        <v>109</v>
      </c>
      <c r="E45" s="8" t="s">
        <v>108</v>
      </c>
      <c r="F45" s="2" t="n">
        <v>5</v>
      </c>
      <c r="G45" s="2" t="n">
        <v>4</v>
      </c>
      <c r="H45" s="2" t="n">
        <v>20</v>
      </c>
      <c r="I45" s="2" t="s">
        <v>71</v>
      </c>
    </row>
    <row r="46" customFormat="false" ht="15" hidden="false" customHeight="false" outlineLevel="0" collapsed="false">
      <c r="A46" s="2" t="s">
        <v>106</v>
      </c>
      <c r="B46" s="2" t="s">
        <v>10</v>
      </c>
      <c r="C46" s="2" t="s">
        <v>74</v>
      </c>
      <c r="D46" s="2" t="s">
        <v>109</v>
      </c>
      <c r="E46" s="8" t="s">
        <v>108</v>
      </c>
      <c r="F46" s="2" t="n">
        <v>5</v>
      </c>
      <c r="G46" s="2" t="n">
        <v>4</v>
      </c>
      <c r="H46" s="2" t="n">
        <v>20</v>
      </c>
      <c r="I46" s="2" t="s">
        <v>71</v>
      </c>
    </row>
    <row r="47" customFormat="false" ht="15" hidden="false" customHeight="false" outlineLevel="0" collapsed="false">
      <c r="A47" s="2" t="s">
        <v>106</v>
      </c>
      <c r="B47" s="2" t="s">
        <v>10</v>
      </c>
      <c r="C47" s="2" t="s">
        <v>80</v>
      </c>
      <c r="D47" s="2" t="s">
        <v>109</v>
      </c>
      <c r="E47" s="8" t="s">
        <v>108</v>
      </c>
      <c r="F47" s="2" t="n">
        <v>5</v>
      </c>
      <c r="G47" s="2" t="n">
        <v>4</v>
      </c>
      <c r="H47" s="2" t="n">
        <v>20</v>
      </c>
      <c r="I47" s="2" t="s">
        <v>71</v>
      </c>
    </row>
    <row r="48" customFormat="false" ht="15" hidden="false" customHeight="false" outlineLevel="0" collapsed="false">
      <c r="A48" s="2" t="s">
        <v>106</v>
      </c>
      <c r="B48" s="2" t="s">
        <v>10</v>
      </c>
      <c r="C48" s="2" t="s">
        <v>82</v>
      </c>
      <c r="D48" s="2" t="s">
        <v>110</v>
      </c>
      <c r="E48" s="8" t="s">
        <v>108</v>
      </c>
      <c r="F48" s="2" t="n">
        <v>4</v>
      </c>
      <c r="G48" s="2" t="n">
        <v>5</v>
      </c>
      <c r="H48" s="2" t="n">
        <v>20</v>
      </c>
      <c r="I48" s="2" t="s">
        <v>71</v>
      </c>
    </row>
    <row r="49" customFormat="false" ht="15" hidden="false" customHeight="false" outlineLevel="0" collapsed="false">
      <c r="A49" s="2" t="s">
        <v>106</v>
      </c>
      <c r="B49" s="2" t="s">
        <v>10</v>
      </c>
      <c r="C49" s="2" t="s">
        <v>76</v>
      </c>
      <c r="D49" s="2" t="s">
        <v>111</v>
      </c>
      <c r="E49" s="8" t="s">
        <v>108</v>
      </c>
      <c r="F49" s="2" t="n">
        <v>4</v>
      </c>
      <c r="G49" s="2" t="n">
        <v>4</v>
      </c>
      <c r="H49" s="2" t="n">
        <v>16</v>
      </c>
      <c r="I49" s="2" t="s">
        <v>71</v>
      </c>
    </row>
    <row r="50" customFormat="false" ht="15" hidden="false" customHeight="false" outlineLevel="0" collapsed="false">
      <c r="A50" s="2" t="s">
        <v>106</v>
      </c>
      <c r="B50" s="2" t="s">
        <v>10</v>
      </c>
      <c r="C50" s="2" t="s">
        <v>84</v>
      </c>
      <c r="D50" s="2" t="s">
        <v>112</v>
      </c>
      <c r="E50" s="3" t="s">
        <v>13</v>
      </c>
      <c r="F50" s="2" t="n">
        <v>4</v>
      </c>
      <c r="G50" s="2" t="n">
        <v>3</v>
      </c>
      <c r="H50" s="2" t="n">
        <v>12</v>
      </c>
      <c r="I50" s="2" t="s">
        <v>86</v>
      </c>
    </row>
    <row r="51" customFormat="false" ht="15" hidden="false" customHeight="false" outlineLevel="0" collapsed="false">
      <c r="A51" s="2" t="s">
        <v>106</v>
      </c>
      <c r="B51" s="2" t="s">
        <v>10</v>
      </c>
      <c r="C51" s="2" t="s">
        <v>87</v>
      </c>
      <c r="D51" s="2" t="s">
        <v>113</v>
      </c>
      <c r="E51" s="9" t="s">
        <v>114</v>
      </c>
      <c r="F51" s="2" t="n">
        <v>3</v>
      </c>
      <c r="G51" s="2" t="n">
        <v>4</v>
      </c>
      <c r="H51" s="2" t="n">
        <v>12</v>
      </c>
      <c r="I51" s="2" t="s">
        <v>89</v>
      </c>
    </row>
    <row r="52" customFormat="false" ht="23.85" hidden="false" customHeight="false" outlineLevel="0" collapsed="false">
      <c r="A52" s="2" t="s">
        <v>106</v>
      </c>
      <c r="B52" s="2" t="s">
        <v>10</v>
      </c>
      <c r="C52" s="2" t="s">
        <v>90</v>
      </c>
      <c r="D52" s="2" t="s">
        <v>113</v>
      </c>
      <c r="E52" s="9" t="s">
        <v>114</v>
      </c>
      <c r="F52" s="2" t="n">
        <v>3</v>
      </c>
      <c r="G52" s="2" t="n">
        <v>4</v>
      </c>
      <c r="H52" s="2" t="n">
        <v>12</v>
      </c>
      <c r="I52" s="2" t="s">
        <v>89</v>
      </c>
    </row>
    <row r="53" customFormat="false" ht="15" hidden="false" customHeight="false" outlineLevel="0" collapsed="false">
      <c r="A53" s="2" t="s">
        <v>106</v>
      </c>
      <c r="B53" s="2" t="s">
        <v>10</v>
      </c>
      <c r="C53" s="2" t="s">
        <v>92</v>
      </c>
      <c r="D53" s="2" t="s">
        <v>113</v>
      </c>
      <c r="E53" s="9" t="s">
        <v>114</v>
      </c>
      <c r="F53" s="2" t="n">
        <v>3</v>
      </c>
      <c r="G53" s="2" t="n">
        <v>4</v>
      </c>
      <c r="H53" s="2" t="n">
        <v>12</v>
      </c>
      <c r="I53" s="2" t="s">
        <v>89</v>
      </c>
    </row>
    <row r="54" customFormat="false" ht="15" hidden="false" customHeight="false" outlineLevel="0" collapsed="false">
      <c r="A54" s="2" t="s">
        <v>106</v>
      </c>
      <c r="B54" s="2" t="s">
        <v>10</v>
      </c>
      <c r="C54" s="2" t="s">
        <v>94</v>
      </c>
      <c r="D54" s="2" t="s">
        <v>113</v>
      </c>
      <c r="E54" s="9" t="s">
        <v>114</v>
      </c>
      <c r="F54" s="2" t="n">
        <v>3</v>
      </c>
      <c r="G54" s="2" t="n">
        <v>4</v>
      </c>
      <c r="H54" s="2" t="n">
        <v>12</v>
      </c>
      <c r="I54" s="2" t="s">
        <v>89</v>
      </c>
    </row>
    <row r="55" customFormat="false" ht="15" hidden="false" customHeight="false" outlineLevel="0" collapsed="false">
      <c r="A55" s="2" t="s">
        <v>106</v>
      </c>
      <c r="B55" s="2" t="s">
        <v>10</v>
      </c>
      <c r="C55" s="2" t="s">
        <v>96</v>
      </c>
      <c r="D55" s="2" t="s">
        <v>115</v>
      </c>
      <c r="E55" s="4" t="s">
        <v>23</v>
      </c>
      <c r="F55" s="2" t="n">
        <v>2</v>
      </c>
      <c r="G55" s="2" t="n">
        <v>2</v>
      </c>
      <c r="H55" s="2" t="n">
        <v>4</v>
      </c>
      <c r="I55" s="2" t="s">
        <v>98</v>
      </c>
    </row>
    <row r="56" customFormat="false" ht="23.85" hidden="false" customHeight="false" outlineLevel="0" collapsed="false">
      <c r="A56" s="2" t="s">
        <v>106</v>
      </c>
      <c r="B56" s="2" t="s">
        <v>10</v>
      </c>
      <c r="C56" s="2" t="s">
        <v>99</v>
      </c>
      <c r="D56" s="2" t="s">
        <v>116</v>
      </c>
      <c r="E56" s="4" t="s">
        <v>23</v>
      </c>
      <c r="F56" s="2" t="n">
        <v>1</v>
      </c>
      <c r="G56" s="2" t="n">
        <v>2</v>
      </c>
      <c r="H56" s="2" t="n">
        <v>2</v>
      </c>
      <c r="I56" s="2" t="s">
        <v>98</v>
      </c>
    </row>
    <row r="57" customFormat="false" ht="23.85" hidden="false" customHeight="false" outlineLevel="0" collapsed="false">
      <c r="A57" s="2" t="s">
        <v>106</v>
      </c>
      <c r="B57" s="2" t="s">
        <v>10</v>
      </c>
      <c r="C57" s="2" t="s">
        <v>101</v>
      </c>
      <c r="D57" s="2" t="s">
        <v>116</v>
      </c>
      <c r="E57" s="4" t="s">
        <v>23</v>
      </c>
      <c r="F57" s="2" t="n">
        <v>1</v>
      </c>
      <c r="G57" s="2" t="n">
        <v>2</v>
      </c>
      <c r="H57" s="2" t="n">
        <v>2</v>
      </c>
      <c r="I57" s="2" t="s">
        <v>98</v>
      </c>
    </row>
    <row r="58" customFormat="false" ht="15" hidden="false" customHeight="false" outlineLevel="0" collapsed="false">
      <c r="A58" s="2" t="s">
        <v>117</v>
      </c>
      <c r="B58" s="2" t="s">
        <v>10</v>
      </c>
      <c r="C58" s="2" t="s">
        <v>118</v>
      </c>
      <c r="D58" s="2" t="s">
        <v>119</v>
      </c>
      <c r="E58" s="8" t="s">
        <v>108</v>
      </c>
      <c r="F58" s="2"/>
      <c r="G58" s="2"/>
      <c r="H58" s="2"/>
      <c r="I58" s="2"/>
    </row>
    <row r="59" customFormat="false" ht="15" hidden="false" customHeight="false" outlineLevel="0" collapsed="false">
      <c r="A59" s="2" t="s">
        <v>117</v>
      </c>
      <c r="B59" s="2" t="s">
        <v>10</v>
      </c>
      <c r="C59" s="2" t="s">
        <v>118</v>
      </c>
      <c r="D59" s="2" t="s">
        <v>120</v>
      </c>
      <c r="E59" s="8" t="s">
        <v>108</v>
      </c>
      <c r="F59" s="2"/>
      <c r="G59" s="2"/>
      <c r="H59" s="2"/>
      <c r="I59" s="2"/>
    </row>
    <row r="60" customFormat="false" ht="15" hidden="false" customHeight="false" outlineLevel="0" collapsed="false">
      <c r="A60" s="2" t="s">
        <v>117</v>
      </c>
      <c r="B60" s="2" t="s">
        <v>10</v>
      </c>
      <c r="C60" s="2" t="s">
        <v>118</v>
      </c>
      <c r="D60" s="2" t="s">
        <v>121</v>
      </c>
      <c r="E60" s="8" t="s">
        <v>108</v>
      </c>
      <c r="F60" s="2"/>
      <c r="G60" s="2"/>
      <c r="H60" s="2"/>
      <c r="I60" s="2"/>
    </row>
    <row r="61" customFormat="false" ht="15" hidden="false" customHeight="false" outlineLevel="0" collapsed="false">
      <c r="A61" s="2" t="s">
        <v>117</v>
      </c>
      <c r="B61" s="2" t="s">
        <v>10</v>
      </c>
      <c r="C61" s="2" t="s">
        <v>118</v>
      </c>
      <c r="D61" s="2" t="s">
        <v>122</v>
      </c>
      <c r="E61" s="8" t="s">
        <v>108</v>
      </c>
      <c r="F61" s="2"/>
      <c r="G61" s="2"/>
      <c r="H61" s="2"/>
      <c r="I61" s="2"/>
    </row>
    <row r="62" customFormat="false" ht="23.85" hidden="false" customHeight="false" outlineLevel="0" collapsed="false">
      <c r="A62" s="2" t="s">
        <v>117</v>
      </c>
      <c r="B62" s="2" t="s">
        <v>10</v>
      </c>
      <c r="C62" s="2" t="s">
        <v>118</v>
      </c>
      <c r="D62" s="2" t="s">
        <v>123</v>
      </c>
      <c r="E62" s="8" t="s">
        <v>108</v>
      </c>
      <c r="F62" s="2"/>
      <c r="G62" s="2"/>
      <c r="H62" s="2"/>
      <c r="I62" s="2"/>
    </row>
    <row r="63" customFormat="false" ht="15" hidden="false" customHeight="false" outlineLevel="0" collapsed="false">
      <c r="A63" s="2" t="s">
        <v>117</v>
      </c>
      <c r="B63" s="2" t="s">
        <v>10</v>
      </c>
      <c r="C63" s="2" t="s">
        <v>118</v>
      </c>
      <c r="D63" s="2" t="s">
        <v>124</v>
      </c>
      <c r="E63" s="8" t="s">
        <v>108</v>
      </c>
      <c r="F63" s="2"/>
      <c r="G63" s="2"/>
      <c r="H63" s="2"/>
      <c r="I63" s="2"/>
    </row>
    <row r="64" customFormat="false" ht="15" hidden="false" customHeight="false" outlineLevel="0" collapsed="false">
      <c r="A64" s="2" t="s">
        <v>117</v>
      </c>
      <c r="B64" s="2" t="s">
        <v>10</v>
      </c>
      <c r="C64" s="2" t="s">
        <v>118</v>
      </c>
      <c r="D64" s="2" t="s">
        <v>125</v>
      </c>
      <c r="E64" s="8" t="s">
        <v>108</v>
      </c>
      <c r="F64" s="2"/>
      <c r="G64" s="2"/>
      <c r="H64" s="2"/>
      <c r="I64" s="2"/>
    </row>
    <row r="65" customFormat="false" ht="15" hidden="false" customHeight="false" outlineLevel="0" collapsed="false">
      <c r="A65" s="2" t="s">
        <v>117</v>
      </c>
      <c r="B65" s="2" t="s">
        <v>10</v>
      </c>
      <c r="C65" s="2" t="s">
        <v>118</v>
      </c>
      <c r="D65" s="2" t="s">
        <v>126</v>
      </c>
      <c r="E65" s="8" t="s">
        <v>108</v>
      </c>
      <c r="F65" s="2"/>
      <c r="G65" s="2"/>
      <c r="H65" s="2"/>
      <c r="I65" s="2"/>
    </row>
    <row r="66" customFormat="false" ht="15" hidden="false" customHeight="false" outlineLevel="0" collapsed="false">
      <c r="A66" s="2" t="s">
        <v>117</v>
      </c>
      <c r="B66" s="2" t="s">
        <v>10</v>
      </c>
      <c r="C66" s="2" t="s">
        <v>127</v>
      </c>
      <c r="D66" s="2" t="s">
        <v>128</v>
      </c>
      <c r="E66" s="5" t="s">
        <v>26</v>
      </c>
      <c r="F66" s="2"/>
      <c r="G66" s="2"/>
      <c r="H66" s="2"/>
      <c r="I66" s="2"/>
    </row>
    <row r="67" customFormat="false" ht="15" hidden="false" customHeight="false" outlineLevel="0" collapsed="false">
      <c r="A67" s="2" t="s">
        <v>117</v>
      </c>
      <c r="B67" s="2" t="s">
        <v>10</v>
      </c>
      <c r="C67" s="2" t="s">
        <v>127</v>
      </c>
      <c r="D67" s="2" t="s">
        <v>129</v>
      </c>
      <c r="E67" s="5" t="s">
        <v>26</v>
      </c>
      <c r="F67" s="2"/>
      <c r="G67" s="2"/>
      <c r="H67" s="2"/>
      <c r="I67" s="2"/>
    </row>
    <row r="68" customFormat="false" ht="15" hidden="false" customHeight="false" outlineLevel="0" collapsed="false">
      <c r="A68" s="2" t="s">
        <v>117</v>
      </c>
      <c r="B68" s="2" t="s">
        <v>10</v>
      </c>
      <c r="C68" s="2" t="s">
        <v>127</v>
      </c>
      <c r="D68" s="2" t="s">
        <v>130</v>
      </c>
      <c r="E68" s="5" t="s">
        <v>26</v>
      </c>
      <c r="F68" s="2"/>
      <c r="G68" s="2"/>
      <c r="H68" s="2"/>
      <c r="I68" s="2"/>
    </row>
    <row r="69" customFormat="false" ht="15" hidden="false" customHeight="false" outlineLevel="0" collapsed="false">
      <c r="A69" s="2" t="s">
        <v>117</v>
      </c>
      <c r="B69" s="2" t="s">
        <v>10</v>
      </c>
      <c r="C69" s="2" t="s">
        <v>127</v>
      </c>
      <c r="D69" s="2" t="s">
        <v>131</v>
      </c>
      <c r="E69" s="5" t="s">
        <v>26</v>
      </c>
      <c r="F69" s="2"/>
      <c r="G69" s="2"/>
      <c r="H69" s="2"/>
      <c r="I69" s="2"/>
    </row>
    <row r="70" customFormat="false" ht="15" hidden="false" customHeight="false" outlineLevel="0" collapsed="false">
      <c r="A70" s="2" t="s">
        <v>117</v>
      </c>
      <c r="B70" s="2" t="s">
        <v>10</v>
      </c>
      <c r="C70" s="2" t="s">
        <v>127</v>
      </c>
      <c r="D70" s="2" t="s">
        <v>132</v>
      </c>
      <c r="E70" s="5" t="s">
        <v>26</v>
      </c>
      <c r="F70" s="2"/>
      <c r="G70" s="2"/>
      <c r="H70" s="2"/>
      <c r="I70" s="2"/>
    </row>
    <row r="71" customFormat="false" ht="15" hidden="false" customHeight="false" outlineLevel="0" collapsed="false">
      <c r="A71" s="2" t="s">
        <v>117</v>
      </c>
      <c r="B71" s="2" t="s">
        <v>10</v>
      </c>
      <c r="C71" s="2" t="s">
        <v>127</v>
      </c>
      <c r="D71" s="2" t="s">
        <v>133</v>
      </c>
      <c r="E71" s="5" t="s">
        <v>26</v>
      </c>
      <c r="F71" s="2"/>
      <c r="G71" s="2"/>
      <c r="H71" s="2"/>
      <c r="I71" s="2"/>
    </row>
    <row r="72" customFormat="false" ht="15" hidden="false" customHeight="false" outlineLevel="0" collapsed="false">
      <c r="A72" s="2" t="s">
        <v>117</v>
      </c>
      <c r="B72" s="2" t="s">
        <v>10</v>
      </c>
      <c r="C72" s="2" t="s">
        <v>127</v>
      </c>
      <c r="D72" s="2" t="s">
        <v>134</v>
      </c>
      <c r="E72" s="5" t="s">
        <v>26</v>
      </c>
      <c r="F72" s="2"/>
      <c r="G72" s="2"/>
      <c r="H72" s="2"/>
      <c r="I72" s="2"/>
    </row>
    <row r="73" customFormat="false" ht="15" hidden="false" customHeight="false" outlineLevel="0" collapsed="false">
      <c r="A73" s="2" t="s">
        <v>117</v>
      </c>
      <c r="B73" s="2" t="s">
        <v>10</v>
      </c>
      <c r="C73" s="2" t="s">
        <v>127</v>
      </c>
      <c r="D73" s="2" t="s">
        <v>135</v>
      </c>
      <c r="E73" s="5" t="s">
        <v>26</v>
      </c>
      <c r="F73" s="2"/>
      <c r="G73" s="2"/>
      <c r="H73" s="2"/>
      <c r="I73" s="2"/>
    </row>
    <row r="74" customFormat="false" ht="46.25" hidden="false" customHeight="false" outlineLevel="0" collapsed="false">
      <c r="A74" s="2" t="s">
        <v>136</v>
      </c>
      <c r="B74" s="2" t="s">
        <v>137</v>
      </c>
      <c r="C74" s="2" t="s">
        <v>138</v>
      </c>
      <c r="D74" s="2" t="s">
        <v>139</v>
      </c>
      <c r="E74" s="10" t="s">
        <v>140</v>
      </c>
      <c r="F74" s="2"/>
      <c r="G74" s="2"/>
      <c r="H74" s="2"/>
      <c r="I74" s="2"/>
    </row>
    <row r="75" customFormat="false" ht="57.45" hidden="false" customHeight="false" outlineLevel="0" collapsed="false">
      <c r="A75" s="2" t="s">
        <v>136</v>
      </c>
      <c r="B75" s="2" t="s">
        <v>137</v>
      </c>
      <c r="C75" s="2" t="s">
        <v>141</v>
      </c>
      <c r="D75" s="2" t="s">
        <v>142</v>
      </c>
      <c r="E75" s="10" t="s">
        <v>140</v>
      </c>
      <c r="F75" s="2"/>
      <c r="G75" s="2"/>
      <c r="H75" s="2"/>
      <c r="I75" s="2"/>
    </row>
    <row r="76" customFormat="false" ht="57.45" hidden="false" customHeight="false" outlineLevel="0" collapsed="false">
      <c r="A76" s="2" t="s">
        <v>136</v>
      </c>
      <c r="B76" s="2" t="s">
        <v>137</v>
      </c>
      <c r="C76" s="2" t="s">
        <v>143</v>
      </c>
      <c r="D76" s="2" t="s">
        <v>144</v>
      </c>
      <c r="E76" s="10" t="s">
        <v>140</v>
      </c>
      <c r="F76" s="2"/>
      <c r="G76" s="2"/>
      <c r="H76" s="2"/>
      <c r="I76" s="2"/>
    </row>
    <row r="77" customFormat="false" ht="57.45" hidden="false" customHeight="false" outlineLevel="0" collapsed="false">
      <c r="A77" s="2" t="s">
        <v>136</v>
      </c>
      <c r="B77" s="2" t="s">
        <v>137</v>
      </c>
      <c r="C77" s="2" t="s">
        <v>145</v>
      </c>
      <c r="D77" s="2" t="s">
        <v>146</v>
      </c>
      <c r="E77" s="10" t="s">
        <v>140</v>
      </c>
      <c r="F77" s="2"/>
      <c r="G77" s="2"/>
      <c r="H77" s="2"/>
      <c r="I77" s="2"/>
    </row>
    <row r="78" customFormat="false" ht="35.05" hidden="false" customHeight="false" outlineLevel="0" collapsed="false">
      <c r="A78" s="2" t="s">
        <v>136</v>
      </c>
      <c r="B78" s="2" t="s">
        <v>137</v>
      </c>
      <c r="C78" s="2" t="s">
        <v>147</v>
      </c>
      <c r="D78" s="2" t="s">
        <v>148</v>
      </c>
      <c r="E78" s="10" t="s">
        <v>140</v>
      </c>
      <c r="F78" s="2"/>
      <c r="G78" s="2"/>
      <c r="H78" s="2"/>
      <c r="I78" s="2"/>
    </row>
    <row r="79" customFormat="false" ht="15" hidden="false" customHeight="false" outlineLevel="0" collapsed="false">
      <c r="A79" s="2" t="s">
        <v>149</v>
      </c>
      <c r="B79" s="2" t="s">
        <v>10</v>
      </c>
      <c r="C79" s="2" t="s">
        <v>150</v>
      </c>
      <c r="D79" s="2" t="s">
        <v>151</v>
      </c>
      <c r="E79" s="11" t="s">
        <v>152</v>
      </c>
      <c r="F79" s="2"/>
      <c r="G79" s="2"/>
      <c r="H79" s="2"/>
      <c r="I79" s="2"/>
    </row>
    <row r="80" customFormat="false" ht="15" hidden="false" customHeight="false" outlineLevel="0" collapsed="false">
      <c r="A80" s="2" t="s">
        <v>149</v>
      </c>
      <c r="B80" s="2" t="s">
        <v>10</v>
      </c>
      <c r="C80" s="2" t="s">
        <v>150</v>
      </c>
      <c r="D80" s="2" t="s">
        <v>153</v>
      </c>
      <c r="E80" s="11" t="s">
        <v>152</v>
      </c>
      <c r="F80" s="2"/>
      <c r="G80" s="2"/>
      <c r="H80" s="2"/>
      <c r="I80" s="2"/>
    </row>
    <row r="81" customFormat="false" ht="15" hidden="false" customHeight="false" outlineLevel="0" collapsed="false">
      <c r="A81" s="2" t="s">
        <v>149</v>
      </c>
      <c r="B81" s="2" t="s">
        <v>10</v>
      </c>
      <c r="C81" s="2" t="s">
        <v>150</v>
      </c>
      <c r="D81" s="2" t="s">
        <v>154</v>
      </c>
      <c r="E81" s="11" t="s">
        <v>152</v>
      </c>
      <c r="F81" s="2"/>
      <c r="G81" s="2"/>
      <c r="H81" s="2"/>
      <c r="I81" s="2"/>
    </row>
    <row r="82" customFormat="false" ht="23.85" hidden="false" customHeight="false" outlineLevel="0" collapsed="false">
      <c r="A82" s="2" t="s">
        <v>149</v>
      </c>
      <c r="B82" s="2" t="s">
        <v>10</v>
      </c>
      <c r="C82" s="2" t="s">
        <v>150</v>
      </c>
      <c r="D82" s="2" t="s">
        <v>155</v>
      </c>
      <c r="E82" s="11" t="s">
        <v>152</v>
      </c>
      <c r="F82" s="2"/>
      <c r="G82" s="2"/>
      <c r="H82" s="2"/>
      <c r="I82" s="2"/>
    </row>
    <row r="83" customFormat="false" ht="15" hidden="false" customHeight="false" outlineLevel="0" collapsed="false">
      <c r="A83" s="2" t="s">
        <v>149</v>
      </c>
      <c r="B83" s="2" t="s">
        <v>10</v>
      </c>
      <c r="C83" s="2" t="s">
        <v>150</v>
      </c>
      <c r="D83" s="2" t="s">
        <v>156</v>
      </c>
      <c r="E83" s="11" t="s">
        <v>152</v>
      </c>
      <c r="F83" s="2"/>
      <c r="G83" s="2"/>
      <c r="H83" s="2"/>
      <c r="I83" s="2"/>
    </row>
    <row r="84" customFormat="false" ht="15" hidden="false" customHeight="false" outlineLevel="0" collapsed="false">
      <c r="A84" s="2" t="s">
        <v>149</v>
      </c>
      <c r="B84" s="2" t="s">
        <v>10</v>
      </c>
      <c r="C84" s="2" t="s">
        <v>150</v>
      </c>
      <c r="D84" s="2" t="s">
        <v>157</v>
      </c>
      <c r="E84" s="11" t="s">
        <v>152</v>
      </c>
      <c r="F84" s="2"/>
      <c r="G84" s="2"/>
      <c r="H84" s="2"/>
      <c r="I84" s="2"/>
    </row>
    <row r="85" customFormat="false" ht="15" hidden="false" customHeight="false" outlineLevel="0" collapsed="false">
      <c r="A85" s="2" t="s">
        <v>149</v>
      </c>
      <c r="B85" s="2" t="s">
        <v>10</v>
      </c>
      <c r="C85" s="2" t="s">
        <v>158</v>
      </c>
      <c r="D85" s="2" t="s">
        <v>159</v>
      </c>
      <c r="E85" s="11" t="s">
        <v>152</v>
      </c>
      <c r="F85" s="2"/>
      <c r="G85" s="2"/>
      <c r="H85" s="2"/>
      <c r="I85" s="2"/>
    </row>
    <row r="86" customFormat="false" ht="15" hidden="false" customHeight="false" outlineLevel="0" collapsed="false">
      <c r="A86" s="2" t="s">
        <v>149</v>
      </c>
      <c r="B86" s="2" t="s">
        <v>10</v>
      </c>
      <c r="C86" s="2" t="s">
        <v>160</v>
      </c>
      <c r="D86" s="2" t="s">
        <v>161</v>
      </c>
      <c r="E86" s="11" t="s">
        <v>152</v>
      </c>
      <c r="F86" s="2"/>
      <c r="G86" s="2"/>
      <c r="H86" s="2"/>
      <c r="I86" s="2"/>
    </row>
    <row r="87" customFormat="false" ht="23.85" hidden="false" customHeight="false" outlineLevel="0" collapsed="false">
      <c r="A87" s="2" t="s">
        <v>149</v>
      </c>
      <c r="B87" s="2" t="s">
        <v>10</v>
      </c>
      <c r="C87" s="2" t="s">
        <v>162</v>
      </c>
      <c r="D87" s="2" t="s">
        <v>163</v>
      </c>
      <c r="E87" s="11" t="s">
        <v>152</v>
      </c>
      <c r="F87" s="2"/>
      <c r="G87" s="2"/>
      <c r="H87" s="2"/>
      <c r="I87" s="2"/>
    </row>
    <row r="88" customFormat="false" ht="23.85" hidden="false" customHeight="false" outlineLevel="0" collapsed="false">
      <c r="A88" s="2" t="s">
        <v>149</v>
      </c>
      <c r="B88" s="2" t="s">
        <v>10</v>
      </c>
      <c r="C88" s="2" t="s">
        <v>164</v>
      </c>
      <c r="D88" s="2" t="s">
        <v>165</v>
      </c>
      <c r="E88" s="11" t="s">
        <v>152</v>
      </c>
      <c r="F88" s="2"/>
      <c r="G88" s="2"/>
      <c r="H88" s="2"/>
      <c r="I88" s="2"/>
    </row>
    <row r="89" customFormat="false" ht="15" hidden="false" customHeight="false" outlineLevel="0" collapsed="false">
      <c r="A89" s="2" t="s">
        <v>149</v>
      </c>
      <c r="B89" s="2" t="s">
        <v>10</v>
      </c>
      <c r="C89" s="2" t="s">
        <v>166</v>
      </c>
      <c r="D89" s="2" t="s">
        <v>167</v>
      </c>
      <c r="E89" s="11" t="s">
        <v>152</v>
      </c>
      <c r="F89" s="2"/>
      <c r="G89" s="2"/>
      <c r="H89" s="2"/>
      <c r="I89" s="2"/>
    </row>
    <row r="90" customFormat="false" ht="23.85" hidden="false" customHeight="false" outlineLevel="0" collapsed="false">
      <c r="A90" s="2" t="s">
        <v>149</v>
      </c>
      <c r="B90" s="2" t="s">
        <v>10</v>
      </c>
      <c r="C90" s="2" t="s">
        <v>168</v>
      </c>
      <c r="D90" s="2" t="s">
        <v>169</v>
      </c>
      <c r="E90" s="11" t="s">
        <v>152</v>
      </c>
      <c r="F90" s="2"/>
      <c r="G90" s="2"/>
      <c r="H90" s="2"/>
      <c r="I90" s="2"/>
    </row>
    <row r="91" customFormat="false" ht="46.25" hidden="false" customHeight="false" outlineLevel="0" collapsed="false">
      <c r="A91" s="2" t="s">
        <v>170</v>
      </c>
      <c r="B91" s="2" t="s">
        <v>10</v>
      </c>
      <c r="C91" s="2" t="s">
        <v>171</v>
      </c>
      <c r="D91" s="2" t="s">
        <v>172</v>
      </c>
      <c r="E91" s="3" t="s">
        <v>13</v>
      </c>
      <c r="F91" s="2"/>
      <c r="G91" s="2"/>
      <c r="H91" s="2"/>
      <c r="I91" s="2"/>
    </row>
  </sheetData>
  <autoFilter ref="A1:I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8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1" t="s">
        <v>173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8</v>
      </c>
    </row>
    <row r="2" customFormat="false" ht="15" hidden="false" customHeight="false" outlineLevel="0" collapsed="false">
      <c r="A2" s="12" t="s">
        <v>178</v>
      </c>
      <c r="B2" s="12" t="s">
        <v>179</v>
      </c>
      <c r="C2" s="13" t="n">
        <v>5</v>
      </c>
      <c r="D2" s="13" t="n">
        <v>4</v>
      </c>
      <c r="E2" s="12" t="n">
        <f aca="false">C2*D2</f>
        <v>20</v>
      </c>
      <c r="F2" s="12" t="str">
        <f aca="false">IF(AND(C2&gt;=4,D2&gt;=4),"Do first (MVP)",IF(E2&gt;=12,IF(C2&gt;=4,"Plan next","Quick add-on"),"Park / avoid"))</f>
        <v>Do first (MVP)</v>
      </c>
    </row>
    <row r="3" customFormat="false" ht="15" hidden="false" customHeight="false" outlineLevel="0" collapsed="false">
      <c r="A3" s="12" t="s">
        <v>35</v>
      </c>
      <c r="B3" s="12" t="s">
        <v>180</v>
      </c>
      <c r="C3" s="13" t="n">
        <v>5</v>
      </c>
      <c r="D3" s="13" t="n">
        <v>5</v>
      </c>
      <c r="E3" s="12" t="n">
        <f aca="false">C3*D3</f>
        <v>25</v>
      </c>
      <c r="F3" s="12" t="str">
        <f aca="false">IF(AND(C3&gt;=4,D3&gt;=4),"Do first (MVP)",IF(E3&gt;=12,IF(C3&gt;=4,"Plan next","Quick add-on"),"Park / avoid"))</f>
        <v>Do first (MVP)</v>
      </c>
    </row>
    <row r="4" customFormat="false" ht="15" hidden="false" customHeight="false" outlineLevel="0" collapsed="false">
      <c r="A4" s="12" t="s">
        <v>181</v>
      </c>
      <c r="B4" s="12" t="s">
        <v>182</v>
      </c>
      <c r="C4" s="13" t="n">
        <v>5</v>
      </c>
      <c r="D4" s="13" t="n">
        <v>4</v>
      </c>
      <c r="E4" s="12" t="n">
        <f aca="false">C4*D4</f>
        <v>20</v>
      </c>
      <c r="F4" s="12" t="str">
        <f aca="false">IF(AND(C4&gt;=4,D4&gt;=4),"Do first (MVP)",IF(E4&gt;=12,IF(C4&gt;=4,"Plan next","Quick add-on"),"Park / avoid"))</f>
        <v>Do first (MVP)</v>
      </c>
    </row>
    <row r="5" customFormat="false" ht="15" hidden="false" customHeight="false" outlineLevel="0" collapsed="false">
      <c r="A5" s="12" t="s">
        <v>183</v>
      </c>
      <c r="B5" s="12" t="s">
        <v>184</v>
      </c>
      <c r="C5" s="13" t="n">
        <v>4</v>
      </c>
      <c r="D5" s="13" t="n">
        <v>4</v>
      </c>
      <c r="E5" s="12" t="n">
        <f aca="false">C5*D5</f>
        <v>16</v>
      </c>
      <c r="F5" s="12" t="str">
        <f aca="false">IF(AND(C5&gt;=4,D5&gt;=4),"Do first (MVP)",IF(E5&gt;=12,IF(C5&gt;=4,"Plan next","Quick add-on"),"Park / avoid"))</f>
        <v>Do first (MVP)</v>
      </c>
    </row>
    <row r="6" customFormat="false" ht="15" hidden="false" customHeight="false" outlineLevel="0" collapsed="false">
      <c r="A6" s="12" t="s">
        <v>185</v>
      </c>
      <c r="B6" s="12" t="s">
        <v>186</v>
      </c>
      <c r="C6" s="13" t="n">
        <v>5</v>
      </c>
      <c r="D6" s="13" t="n">
        <v>5</v>
      </c>
      <c r="E6" s="12" t="n">
        <f aca="false">C6*D6</f>
        <v>25</v>
      </c>
      <c r="F6" s="12" t="str">
        <f aca="false">IF(AND(C6&gt;=4,D6&gt;=4),"Do first (MVP)",IF(E6&gt;=12,IF(C6&gt;=4,"Plan next","Quick add-on"),"Park / avoid"))</f>
        <v>Do first (MVP)</v>
      </c>
    </row>
    <row r="7" customFormat="false" ht="15" hidden="false" customHeight="false" outlineLevel="0" collapsed="false">
      <c r="A7" s="12" t="s">
        <v>187</v>
      </c>
      <c r="B7" s="12" t="s">
        <v>188</v>
      </c>
      <c r="C7" s="13" t="n">
        <v>5</v>
      </c>
      <c r="D7" s="13" t="n">
        <v>4</v>
      </c>
      <c r="E7" s="12" t="n">
        <f aca="false">C7*D7</f>
        <v>20</v>
      </c>
      <c r="F7" s="12" t="str">
        <f aca="false">IF(AND(C7&gt;=4,D7&gt;=4),"Do first (MVP)",IF(E7&gt;=12,IF(C7&gt;=4,"Plan next","Quick add-on"),"Park / avoid"))</f>
        <v>Do first (MVP)</v>
      </c>
    </row>
    <row r="8" customFormat="false" ht="15" hidden="false" customHeight="false" outlineLevel="0" collapsed="false">
      <c r="A8" s="12" t="s">
        <v>189</v>
      </c>
      <c r="B8" s="12" t="s">
        <v>190</v>
      </c>
      <c r="C8" s="13" t="n">
        <v>4</v>
      </c>
      <c r="D8" s="13" t="n">
        <v>5</v>
      </c>
      <c r="E8" s="12" t="n">
        <f aca="false">C8*D8</f>
        <v>20</v>
      </c>
      <c r="F8" s="12" t="str">
        <f aca="false">IF(AND(C8&gt;=4,D8&gt;=4),"Do first (MVP)",IF(E8&gt;=12,IF(C8&gt;=4,"Plan next","Quick add-on"),"Park / avoid"))</f>
        <v>Do first (MVP)</v>
      </c>
    </row>
    <row r="9" customFormat="false" ht="15" hidden="false" customHeight="false" outlineLevel="0" collapsed="false">
      <c r="A9" s="12" t="s">
        <v>47</v>
      </c>
      <c r="B9" s="12" t="s">
        <v>191</v>
      </c>
      <c r="C9" s="13" t="n">
        <v>4</v>
      </c>
      <c r="D9" s="13" t="n">
        <v>3</v>
      </c>
      <c r="E9" s="12" t="n">
        <f aca="false">C9*D9</f>
        <v>12</v>
      </c>
      <c r="F9" s="12" t="str">
        <f aca="false">IF(AND(C9&gt;=4,D9&gt;=4),"Do first (MVP)",IF(E9&gt;=12,IF(C9&gt;=4,"Plan next","Quick add-on"),"Park / avoid"))</f>
        <v>Plan next</v>
      </c>
    </row>
    <row r="10" customFormat="false" ht="15" hidden="false" customHeight="false" outlineLevel="0" collapsed="false">
      <c r="A10" s="12" t="s">
        <v>192</v>
      </c>
      <c r="B10" s="12" t="s">
        <v>193</v>
      </c>
      <c r="C10" s="13" t="n">
        <v>3</v>
      </c>
      <c r="D10" s="13" t="n">
        <v>4</v>
      </c>
      <c r="E10" s="12" t="n">
        <f aca="false">C10*D10</f>
        <v>12</v>
      </c>
      <c r="F10" s="12" t="str">
        <f aca="false">IF(AND(C10&gt;=4,D10&gt;=4),"Do first (MVP)",IF(E10&gt;=12,IF(C10&gt;=4,"Plan next","Quick add-on"),"Park / avoid"))</f>
        <v>Quick add-on</v>
      </c>
    </row>
    <row r="11" customFormat="false" ht="15" hidden="false" customHeight="false" outlineLevel="0" collapsed="false">
      <c r="A11" s="12" t="s">
        <v>194</v>
      </c>
      <c r="B11" s="12" t="s">
        <v>195</v>
      </c>
      <c r="C11" s="13" t="n">
        <v>3</v>
      </c>
      <c r="D11" s="13" t="n">
        <v>4</v>
      </c>
      <c r="E11" s="12" t="n">
        <f aca="false">C11*D11</f>
        <v>12</v>
      </c>
      <c r="F11" s="12" t="str">
        <f aca="false">IF(AND(C11&gt;=4,D11&gt;=4),"Do first (MVP)",IF(E11&gt;=12,IF(C11&gt;=4,"Plan next","Quick add-on"),"Park / avoid"))</f>
        <v>Quick add-on</v>
      </c>
    </row>
    <row r="12" customFormat="false" ht="15" hidden="false" customHeight="false" outlineLevel="0" collapsed="false">
      <c r="A12" s="12" t="s">
        <v>196</v>
      </c>
      <c r="B12" s="12" t="s">
        <v>197</v>
      </c>
      <c r="C12" s="13" t="n">
        <v>3</v>
      </c>
      <c r="D12" s="13" t="n">
        <v>4</v>
      </c>
      <c r="E12" s="12" t="n">
        <f aca="false">C12*D12</f>
        <v>12</v>
      </c>
      <c r="F12" s="12" t="str">
        <f aca="false">IF(AND(C12&gt;=4,D12&gt;=4),"Do first (MVP)",IF(E12&gt;=12,IF(C12&gt;=4,"Plan next","Quick add-on"),"Park / avoid"))</f>
        <v>Quick add-on</v>
      </c>
    </row>
    <row r="13" customFormat="false" ht="15" hidden="false" customHeight="false" outlineLevel="0" collapsed="false">
      <c r="A13" s="12" t="s">
        <v>198</v>
      </c>
      <c r="B13" s="12" t="s">
        <v>199</v>
      </c>
      <c r="C13" s="13" t="n">
        <v>3</v>
      </c>
      <c r="D13" s="13" t="n">
        <v>4</v>
      </c>
      <c r="E13" s="12" t="n">
        <f aca="false">C13*D13</f>
        <v>12</v>
      </c>
      <c r="F13" s="12" t="str">
        <f aca="false">IF(AND(C13&gt;=4,D13&gt;=4),"Do first (MVP)",IF(E13&gt;=12,IF(C13&gt;=4,"Plan next","Quick add-on"),"Park / avoid"))</f>
        <v>Quick add-on</v>
      </c>
    </row>
    <row r="14" customFormat="false" ht="15" hidden="false" customHeight="false" outlineLevel="0" collapsed="false">
      <c r="A14" s="12" t="s">
        <v>200</v>
      </c>
      <c r="B14" s="12" t="s">
        <v>201</v>
      </c>
      <c r="C14" s="13" t="n">
        <v>2</v>
      </c>
      <c r="D14" s="13" t="n">
        <v>2</v>
      </c>
      <c r="E14" s="12" t="n">
        <f aca="false">C14*D14</f>
        <v>4</v>
      </c>
      <c r="F14" s="12" t="str">
        <f aca="false">IF(AND(C14&gt;=4,D14&gt;=4),"Do first (MVP)",IF(E14&gt;=12,IF(C14&gt;=4,"Plan next","Quick add-on"),"Park / avoid"))</f>
        <v>Park / avoid</v>
      </c>
    </row>
    <row r="15" customFormat="false" ht="15" hidden="false" customHeight="false" outlineLevel="0" collapsed="false">
      <c r="A15" s="12" t="s">
        <v>202</v>
      </c>
      <c r="B15" s="12" t="s">
        <v>203</v>
      </c>
      <c r="C15" s="13" t="n">
        <v>1</v>
      </c>
      <c r="D15" s="13" t="n">
        <v>2</v>
      </c>
      <c r="E15" s="12" t="n">
        <f aca="false">C15*D15</f>
        <v>2</v>
      </c>
      <c r="F15" s="12" t="str">
        <f aca="false">IF(AND(C15&gt;=4,D15&gt;=4),"Do first (MVP)",IF(E15&gt;=12,IF(C15&gt;=4,"Plan next","Quick add-on"),"Park / avoid"))</f>
        <v>Park / avoid</v>
      </c>
    </row>
    <row r="16" customFormat="false" ht="15" hidden="false" customHeight="false" outlineLevel="0" collapsed="false">
      <c r="A16" s="12" t="s">
        <v>204</v>
      </c>
      <c r="B16" s="12" t="s">
        <v>205</v>
      </c>
      <c r="C16" s="13" t="n">
        <v>1</v>
      </c>
      <c r="D16" s="13" t="n">
        <v>2</v>
      </c>
      <c r="E16" s="12" t="n">
        <f aca="false">C16*D16</f>
        <v>2</v>
      </c>
      <c r="F16" s="12" t="str">
        <f aca="false">IF(AND(C16&gt;=4,D16&gt;=4),"Do first (MVP)",IF(E16&gt;=12,IF(C16&gt;=4,"Plan next","Quick add-on"),"Park / avoid"))</f>
        <v>Park / avoid</v>
      </c>
    </row>
    <row r="19" customFormat="false" ht="15" hidden="false" customHeight="false" outlineLevel="0" collapsed="false">
      <c r="A19" s="14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2026-10-27T09:52:10Z</dcterms:created>
  <dc:creator>openpyxl</dc:creator>
  <dc:description/>
  <dc:language>en-US</dc:language>
  <cp:lastModifiedBy/>
  <dcterms:modified xsi:type="dcterms:W3CDTF">2026-10-27T09:52:10Z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