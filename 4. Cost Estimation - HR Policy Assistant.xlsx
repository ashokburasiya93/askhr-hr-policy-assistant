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10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2.xml" ContentType="application/vnd.openxmlformats-officedocument.spreadsheetml.table+xml"/>
  <Override PartName="/xl/tables/table9.xml" ContentType="application/vnd.openxmlformats-officedocument.spreadsheetml.table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ference" sheetId="1" state="visible" r:id="rId3"/>
    <sheet name="Embeddings" sheetId="2" state="visible" r:id="rId4"/>
    <sheet name="Cost Sav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Typical policy question is 10-25 words; Devanagari text tokenises at ~2-3x, so 40 is a safe average.</t>
        </r>
      </text>
    </comment>
    <comment ref="C7" authorId="0">
      <text>
        <r>
          <rPr>
            <sz val="10"/>
            <rFont val="Arial"/>
            <family val="2"/>
          </rPr>
          <t xml:space="preserve">AskHR system prompt in lib/assistant.js is ~450 words plus the JSON schema.</t>
        </r>
      </text>
    </comment>
    <comment ref="C8" authorId="0">
      <text>
        <r>
          <rPr>
            <sz val="10"/>
            <rFont val="Arial"/>
            <family val="2"/>
          </rPr>
          <t xml:space="preserve">Top 5 live, own-country sections after the eligibility filter; production sections average ~300 words.</t>
        </r>
      </text>
    </comment>
    <comment ref="C9" authorId="0">
      <text>
        <r>
          <rPr>
            <sz val="10"/>
            <rFont val="Arial"/>
            <family val="2"/>
          </rPr>
          <t xml:space="preserve">Only the fields needed to pick the table row; no name or ID is sent.</t>
        </r>
      </text>
    </comment>
    <comment ref="C10" authorId="0">
      <text>
        <r>
          <rPr>
            <sz val="10"/>
            <rFont val="Arial"/>
            <family val="2"/>
          </rPr>
          <t xml:space="preserve">Follow-up questions carry the last 3 short turns.</t>
        </r>
      </text>
    </comment>
    <comment ref="C12" authorId="0">
      <text>
        <r>
          <rPr>
            <sz val="10"/>
            <rFont val="Arial"/>
            <family val="2"/>
          </rPr>
          <t xml:space="preserve">JSON answer: 60-120 words + citation ids + confidence.</t>
        </r>
      </text>
    </comment>
    <comment ref="C14" authorId="0">
      <text>
        <r>
          <rPr>
            <sz val="10"/>
            <rFont val="Arial"/>
            <family val="2"/>
          </rPr>
          <t xml:space="preserve">Brief: ~2,500 policy questions a month. Upper bound: assumes every question reaches the model, although safety rules hand ~10-15% to a person with no model call.</t>
        </r>
      </text>
    </comment>
    <comment ref="F6" authorId="0">
      <text>
        <r>
          <rPr>
            <sz val="10"/>
            <rFont val="Arial"/>
            <family val="2"/>
          </rPr>
          <t xml:space="preserve">xAI list price per 1M tokens, Oct 2026. Verify before signing.</t>
        </r>
      </text>
    </comment>
    <comment ref="F7" authorId="0">
      <text>
        <r>
          <rPr>
            <sz val="10"/>
            <rFont val="Arial"/>
            <family val="2"/>
          </rPr>
          <t xml:space="preserve">Anthropic list price per 1M tokens (claude-api reference, Oct 2026).</t>
        </r>
      </text>
    </comment>
    <comment ref="F8" authorId="0">
      <text>
        <r>
          <rPr>
            <sz val="10"/>
            <rFont val="Arial"/>
            <family val="2"/>
          </rPr>
          <t xml:space="preserve">Used for eval comparison, not in production path.</t>
        </r>
      </text>
    </comment>
    <comment ref="F11" authorId="0">
      <text>
        <r>
          <rPr>
            <sz val="10"/>
            <rFont val="Arial"/>
            <family val="2"/>
          </rPr>
          <t xml:space="preserve">Assumption: Grok is available &gt;95% of requests; fallback triggers on timeout, error or a failed grounding check retry.</t>
        </r>
      </text>
    </comment>
    <comment ref="F17" authorId="0">
      <text>
        <r>
          <rPr>
            <sz val="10"/>
            <rFont val="Arial"/>
            <family val="2"/>
          </rPr>
          <t xml:space="preserve">From the brief: Engineering estimates $0.02-$0.10 per question.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3" authorId="0">
      <text>
        <r>
          <rPr>
            <sz val="10"/>
            <rFont val="Arial"/>
            <family val="2"/>
          </rPr>
          <t xml:space="preserve">English average; Hindi content would be higher, but the policy library is English.</t>
        </r>
      </text>
    </comment>
    <comment ref="D7" authorId="0">
      <text>
        <r>
          <rPr>
            <sz val="10"/>
            <rFont val="Arial"/>
            <family val="2"/>
          </rPr>
          <t xml:space="preserve">Brief: ~300 pages across 40 documents, all three countries.</t>
        </r>
      </text>
    </comment>
    <comment ref="D16" authorId="0">
      <text>
        <r>
          <rPr>
            <sz val="10"/>
            <rFont val="Arial"/>
            <family val="2"/>
          </rPr>
          <t xml:space="preserve">Embedding model price per 1M tokens (e.g. Voyage voyage-3.5 or an approved Azure OpenAI embedding model). Confirm with Security's approved list.</t>
        </r>
      </text>
    </comment>
    <comment ref="D22" authorId="0">
      <text>
        <r>
          <rPr>
            <sz val="10"/>
            <rFont val="Arial"/>
            <family val="2"/>
          </rPr>
          <t xml:space="preserve">Same as Inference!C6.</t>
        </r>
      </text>
    </comment>
    <comment ref="G7" authorId="0">
      <text>
        <r>
          <rPr>
            <sz val="10"/>
            <rFont val="Arial"/>
            <family val="2"/>
          </rPr>
          <t xml:space="preserve">Owner-approved answers to the top repeat questions, 50 per country.</t>
        </r>
      </text>
    </comment>
    <comment ref="J7" authorId="0">
      <text>
        <r>
          <rPr>
            <sz val="10"/>
            <rFont val="Arial"/>
            <family val="2"/>
          </rPr>
          <t xml:space="preserve">Brief: ~10 policy updates a quarter; each update re-embeds the whole document.</t>
        </r>
      </text>
    </comment>
    <comment ref="J8" authorId="0">
      <text>
        <r>
          <rPr>
            <sz val="10"/>
            <rFont val="Arial"/>
            <family val="2"/>
          </rPr>
          <t xml:space="preserve">300 pages x 450 words / 40 docs ≈ 3,400 words per document.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6" authorId="0">
      <text>
        <r>
          <rPr>
            <sz val="10"/>
            <rFont val="Arial"/>
            <family val="2"/>
          </rPr>
          <t xml:space="preserve">Brief: 18 minutes per question on average; 8-hour day.</t>
        </r>
      </text>
    </comment>
    <comment ref="E9" authorId="0">
      <text>
        <r>
          <rPr>
            <sz val="10"/>
            <rFont val="Arial"/>
            <family val="2"/>
          </rPr>
          <t xml:space="preserve">Brief: ~2,500 a month; ~4,000 in March and November.</t>
        </r>
      </text>
    </comment>
    <comment ref="E15" authorId="0">
      <text>
        <r>
          <rPr>
            <sz val="10"/>
            <rFont val="Arial"/>
            <family val="2"/>
          </rPr>
          <t xml:space="preserve">Brief: fully loaded HR partner cost ≈ $35/hour, blended across countries.</t>
        </r>
      </text>
    </comment>
    <comment ref="E26" authorId="0">
      <text>
        <r>
          <rPr>
            <sz val="10"/>
            <rFont val="Arial"/>
            <family val="2"/>
          </rPr>
          <t xml:space="preserve">Assumption: Azure/Vercel functions, managed vector index and log retention for 6,000 users.</t>
        </r>
      </text>
    </comment>
    <comment ref="E35" authorId="0">
      <text>
        <r>
          <rPr>
            <sz val="10"/>
            <rFont val="Arial"/>
            <family val="2"/>
          </rPr>
          <t xml:space="preserve">CHRO goal from the brief. Sensitive (10%) and some 'other' questions always go to a person, so 60% is the realistic ceiling in year one.</t>
        </r>
      </text>
    </comment>
    <comment ref="E42" authorId="0">
      <text>
        <r>
          <rPr>
            <sz val="10"/>
            <rFont val="Arial"/>
            <family val="2"/>
          </rPr>
          <t xml:space="preserve">Assumption for illustration: 4 engineers for 6 weeks at $8,000 per engineer-month loaded. Replace with the real rate.</t>
        </r>
      </text>
    </comment>
  </commentList>
</comments>
</file>

<file path=xl/sharedStrings.xml><?xml version="1.0" encoding="utf-8"?>
<sst xmlns="http://schemas.openxmlformats.org/spreadsheetml/2006/main" count="121" uniqueCount="102">
  <si>
    <t xml:space="preserve">Base Calculation</t>
  </si>
  <si>
    <t xml:space="preserve">Model Selection + Cost Estimation</t>
  </si>
  <si>
    <t xml:space="preserve">Description</t>
  </si>
  <si>
    <t xml:space="preserve">Quantity</t>
  </si>
  <si>
    <t xml:space="preserve">Model Name</t>
  </si>
  <si>
    <t xml:space="preserve">Input cost($) per 1M token</t>
  </si>
  <si>
    <t xml:space="preserve">Output cost($) per 1M token</t>
  </si>
  <si>
    <t xml:space="preserve">Cost per input Query($)</t>
  </si>
  <si>
    <t xml:space="preserve">Cost per output query Query($)</t>
  </si>
  <si>
    <t xml:space="preserve">Total Cost per query</t>
  </si>
  <si>
    <t xml:space="preserve">Total cost per month</t>
  </si>
  <si>
    <t xml:space="preserve">Employee question (incl. Hindi/Hinglish)</t>
  </si>
  <si>
    <t xml:space="preserve">grok-4-fast-non-reasoning (xAI) - primary</t>
  </si>
  <si>
    <t xml:space="preserve">System prompt + guardrail rules + output schema</t>
  </si>
  <si>
    <t xml:space="preserve">claude-haiku-5-5 (Anthropic) - fallback</t>
  </si>
  <si>
    <t xml:space="preserve">Retrieved policy sections (5 x 400 tokens)</t>
  </si>
  <si>
    <t xml:space="preserve">claude-sonnet-5-5 (Anthropic) - quality benchmark only</t>
  </si>
  <si>
    <t xml:space="preserve">Employee profile from Workday (country, grade, type, service)</t>
  </si>
  <si>
    <t xml:space="preserve">Conversation history (last 3 turns)</t>
  </si>
  <si>
    <t xml:space="preserve">Production mix</t>
  </si>
  <si>
    <t xml:space="preserve">Total input tokens per query</t>
  </si>
  <si>
    <t xml:space="preserve">Share of calls served by Grok (primary)</t>
  </si>
  <si>
    <t xml:space="preserve">Total Output tokens per query</t>
  </si>
  <si>
    <t xml:space="preserve">Share of calls falling back to Claude Haiku</t>
  </si>
  <si>
    <t xml:space="preserve">Total Token per query</t>
  </si>
  <si>
    <t xml:space="preserve">Blended cost per question ($)</t>
  </si>
  <si>
    <t xml:space="preserve">Total questions received per day (avg month)</t>
  </si>
  <si>
    <t xml:space="preserve">Blended cost per month - average month ($)</t>
  </si>
  <si>
    <t xml:space="preserve">Total number of days per month</t>
  </si>
  <si>
    <t xml:space="preserve">Peak month questions (March / November)</t>
  </si>
  <si>
    <t xml:space="preserve">Total monthly volume of queries</t>
  </si>
  <si>
    <t xml:space="preserve">Blended cost - peak month ($)</t>
  </si>
  <si>
    <t xml:space="preserve">Engineering estimate per question - low ($)</t>
  </si>
  <si>
    <t xml:space="preserve">Engineering estimate per question - high ($)</t>
  </si>
  <si>
    <t xml:space="preserve">Engineering estimate per month at 2,500 q - high ($)</t>
  </si>
  <si>
    <t xml:space="preserve">Annual inference budget incl. 2 peak months, x3 safety margin ($)</t>
  </si>
  <si>
    <t xml:space="preserve">Notes</t>
  </si>
  <si>
    <t xml:space="preserve">• Blue = input assumption (hover for source); black = formula.</t>
  </si>
  <si>
    <t xml:space="preserve">• Token counts are per model call; cost is an upper bound (every question assumed to reach the model).</t>
  </si>
  <si>
    <t xml:space="preserve">• Result: ~$0.0007 per question, far below Engineering's $0.02-$0.10. Their range likely assumed a frontier model and whole documents in context.</t>
  </si>
  <si>
    <t xml:space="preserve">• Even at 3x safety margin, inference is well under $100 a year: model cost is not the decision driver; integration, content ownership and safety are.</t>
  </si>
  <si>
    <t xml:space="preserve">• Prices are list prices per 1M tokens as of Oct 2026; re-check with the approved-vendor list before launch.</t>
  </si>
  <si>
    <t xml:space="preserve">Token/word</t>
  </si>
  <si>
    <t xml:space="preserve">Policy library (SharePoint)</t>
  </si>
  <si>
    <t xml:space="preserve">Approved FAQ answers</t>
  </si>
  <si>
    <t xml:space="preserve">Re-embedding policy updates (per year)</t>
  </si>
  <si>
    <t xml:space="preserve">Component</t>
  </si>
  <si>
    <t xml:space="preserve">Number of policy pages</t>
  </si>
  <si>
    <t xml:space="preserve">Number of approved FAQ answers</t>
  </si>
  <si>
    <t xml:space="preserve">Updated documents per year</t>
  </si>
  <si>
    <t xml:space="preserve">Number of words per page</t>
  </si>
  <si>
    <t xml:space="preserve">Number of words per FAQ</t>
  </si>
  <si>
    <t xml:space="preserve">Number of words per document</t>
  </si>
  <si>
    <t xml:space="preserve">Total number of words</t>
  </si>
  <si>
    <t xml:space="preserve">Total Tokens</t>
  </si>
  <si>
    <t xml:space="preserve">Total tokens</t>
  </si>
  <si>
    <t xml:space="preserve">RAG Embeddings</t>
  </si>
  <si>
    <t xml:space="preserve">Cost/Quantity</t>
  </si>
  <si>
    <t xml:space="preserve">Total tokens for RAG</t>
  </si>
  <si>
    <t xml:space="preserve">Cost per 1M token</t>
  </si>
  <si>
    <t xml:space="preserve">Total cost for RAG</t>
  </si>
  <si>
    <t xml:space="preserve">Employee question embeddings (per month)</t>
  </si>
  <si>
    <t xml:space="preserve">Token per user query</t>
  </si>
  <si>
    <t xml:space="preserve">Total queries per month</t>
  </si>
  <si>
    <t xml:space="preserve">Token tokens per month</t>
  </si>
  <si>
    <t xml:space="preserve">Total cost for user query embeddings</t>
  </si>
  <si>
    <t xml:space="preserve">Total cost of Embeddings (one-off library + 1 month of queries)</t>
  </si>
  <si>
    <t xml:space="preserve">• The prototype uses keyword search (BM25 + Hindi/Hinglish synonyms); production adds embeddings for paraphrases (hybrid search).</t>
  </si>
  <si>
    <t xml:space="preserve">• Embedding the whole library costs cents. Tickets are NOT embedded: they contain personal data and old answers that may be wrong.</t>
  </si>
  <si>
    <t xml:space="preserve">Calculating HR partner capacity spent on policy questions</t>
  </si>
  <si>
    <t xml:space="preserve">Policy questions per working day</t>
  </si>
  <si>
    <t xml:space="preserve">Questions one HR partner can answer per day (480 min / 18 min)</t>
  </si>
  <si>
    <t xml:space="preserve">Working days per month</t>
  </si>
  <si>
    <t xml:space="preserve">Questions one HR partner can answer per month</t>
  </si>
  <si>
    <t xml:space="preserve">Policy questions per month (average)</t>
  </si>
  <si>
    <t xml:space="preserve">HR partner FTE spent on policy questions</t>
  </si>
  <si>
    <t xml:space="preserve">Monthly cost of HR partner time on policy questions</t>
  </si>
  <si>
    <t xml:space="preserve">Cost</t>
  </si>
  <si>
    <t xml:space="preserve">Fully loaded cost per HR partner per month ($35/h x 8h x 22d)</t>
  </si>
  <si>
    <t xml:space="preserve">Admin cost (already in the fully loaded rate)</t>
  </si>
  <si>
    <t xml:space="preserve">Total cost per HR partner per month</t>
  </si>
  <si>
    <t xml:space="preserve">Total cost of HR partner time on policy questions per month</t>
  </si>
  <si>
    <t xml:space="preserve">Monthly cost of AskHR</t>
  </si>
  <si>
    <t xml:space="preserve">Inference cost (blended Grok + Claude fallback)</t>
  </si>
  <si>
    <t xml:space="preserve">Embeddings cost (query embeddings + library amortised over 12 months)</t>
  </si>
  <si>
    <t xml:space="preserve">Hosting, vector search, logging and monitoring</t>
  </si>
  <si>
    <t xml:space="preserve">Total AskHR running cost per month</t>
  </si>
  <si>
    <t xml:space="preserve">Total savings if AskHR answered every question (theoretical)</t>
  </si>
  <si>
    <t xml:space="preserve">% Savings (theoretical)</t>
  </si>
  <si>
    <t xml:space="preserve">Realistic savings (CHRO target)</t>
  </si>
  <si>
    <t xml:space="preserve">Share of questions resolved with no HR partner (6-month target)</t>
  </si>
  <si>
    <t xml:space="preserve">Policy content upkeep: owner review of updates + eval refresh (hours/month)</t>
  </si>
  <si>
    <t xml:space="preserve">Cost of that upkeep per month</t>
  </si>
  <si>
    <t xml:space="preserve">HR partner cost avoided per month</t>
  </si>
  <si>
    <t xml:space="preserve">Net monthly saving</t>
  </si>
  <si>
    <t xml:space="preserve">Net annual saving</t>
  </si>
  <si>
    <t xml:space="preserve">HR partner FTE freed for strategic work</t>
  </si>
  <si>
    <t xml:space="preserve">Payback on build (4 engineers x 3 sprints x $8,000/eng-month, assumption)</t>
  </si>
  <si>
    <t xml:space="preserve">Payback period (months)</t>
  </si>
  <si>
    <t xml:space="preserve">• Cross-check: 2,500 questions x $10.50 ≈ $26,250 a month, matching E19.</t>
  </si>
  <si>
    <t xml:space="preserve">• Quality gains not priced in: 1.5-day wait → seconds, 8% wrong answers → near zero, sensitive questions reach a person faster.</t>
  </si>
  <si>
    <t xml:space="preserve">• Time freed is redeployed to strategic work (CHRO goal), not headcount reduction; HR partners keep sensitive cases.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</si>
</sst>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#,##0"/>
    <numFmt numFmtId="166" formatCode="\$0.000000"/>
    <numFmt numFmtId="167" formatCode="\$#,##0.00"/>
    <numFmt numFmtId="168" formatCode="[$$-409]#,##0.00"/>
    <numFmt numFmtId="169" formatCode="0%"/>
    <numFmt numFmtId="170" formatCode="General"/>
    <numFmt numFmtId="171" formatCode="\$0.00000"/>
    <numFmt numFmtId="172" formatCode="#,##0.0"/>
    <numFmt numFmtId="173" formatCode="\$0.00"/>
    <numFmt numFmtId="174" formatCode="\$#,##0"/>
    <numFmt numFmtId="175" formatCode="\$0.0000"/>
    <numFmt numFmtId="176" formatCode="0.0"/>
    <numFmt numFmtId="177" formatCode="0.00"/>
    <numFmt numFmtId="178" formatCode="_([$$-409]* #,##0.00_);_([$$-409]* \(#,##0.00\);_([$$-409]* \-??_);_(@_)"/>
    <numFmt numFmtId="179" formatCode="0.0%"/>
    <numFmt numFmtId="180" formatCode="0"/>
  </numFmts>
  <fonts count="16">
    <font>
      <sz val="14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14"/>
      <color rgb="FF0000FF"/>
      <name val="Calibri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name val="Arial"/>
      <family val="2"/>
    </font>
    <font>
      <b val="true"/>
      <sz val="18"/>
      <color theme="1"/>
      <name val="Calibri"/>
      <family val="2"/>
      <charset val="1"/>
    </font>
    <font>
      <sz val="18"/>
      <color rgb="FF0000FF"/>
      <name val="Calibri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theme="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5999"/>
        <bgColor rgb="FFCCCCFF"/>
      </patternFill>
    </fill>
    <fill>
      <patternFill patternType="solid">
        <fgColor theme="4" tint="-0.25"/>
        <bgColor rgb="FF4472C4"/>
      </patternFill>
    </fill>
    <fill>
      <patternFill patternType="solid">
        <fgColor theme="4"/>
        <bgColor rgb="FF2F5597"/>
      </patternFill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thin">
        <color theme="4"/>
      </top>
      <bottom style="medium"/>
      <diagonal/>
    </border>
    <border diagonalUp="false" diagonalDown="false">
      <left style="thin">
        <color theme="4"/>
      </left>
      <right style="medium"/>
      <top style="thin">
        <color theme="4"/>
      </top>
      <bottom style="medium"/>
      <diagonal/>
    </border>
    <border diagonalUp="false" diagonalDown="false">
      <left style="medium"/>
      <right/>
      <top style="thin">
        <color theme="4"/>
      </top>
      <bottom/>
      <diagonal/>
    </border>
    <border diagonalUp="false" diagonalDown="false">
      <left/>
      <right style="medium"/>
      <top style="thin">
        <color theme="4"/>
      </top>
      <bottom/>
      <diagonal/>
    </border>
    <border diagonalUp="false" diagonalDown="false">
      <left style="thin">
        <color theme="4"/>
      </left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0" borderId="1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4" fillId="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15" fillId="4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15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B4C7E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2F5597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B5:C16" headerRowCount="1" totalsRowCount="0" totalsRowShown="0">
  <autoFilter ref="B5:C16"/>
  <tableColumns count="2">
    <tableColumn id="1" name="Description"/>
    <tableColumn id="2" name="Quantity"/>
  </tableColumns>
</table>
</file>

<file path=xl/tables/table2.xml><?xml version="1.0" encoding="utf-8"?>
<table xmlns="http://schemas.openxmlformats.org/spreadsheetml/2006/main" id="2" name="Table10" displayName="Table10" ref="D23:E25" headerRowCount="1" totalsRowCount="0" totalsRowShown="0">
  <autoFilter ref="D23:E25"/>
  <tableColumns count="2">
    <tableColumn id="1" name="Component"/>
    <tableColumn id="2" name="Cost"/>
  </tableColumns>
</table>
</file>

<file path=xl/tables/table3.xml><?xml version="1.0" encoding="utf-8"?>
<table xmlns="http://schemas.openxmlformats.org/spreadsheetml/2006/main" id="3" name="Table2" displayName="Table2" ref="E5:K11" headerRowCount="1" totalsRowCount="0" totalsRowShown="0">
  <autoFilter ref="E5:K11"/>
  <tableColumns count="7">
    <tableColumn id="1" name="Model Name"/>
    <tableColumn id="2" name="Input cost($) per 1M token"/>
    <tableColumn id="3" name="Output cost($) per 1M token"/>
    <tableColumn id="4" name="Cost per input Query($)"/>
    <tableColumn id="5" name="Cost per output query Query($)"/>
    <tableColumn id="6" name="Total Cost per query"/>
    <tableColumn id="7" name="Total cost per month"/>
  </tableColumns>
</table>
</file>

<file path=xl/tables/table4.xml><?xml version="1.0" encoding="utf-8"?>
<table xmlns="http://schemas.openxmlformats.org/spreadsheetml/2006/main" id="4" name="Table3" displayName="Table3" ref="C6:D10" headerRowCount="1" totalsRowCount="0" totalsRowShown="0">
  <autoFilter ref="C6:D10"/>
  <tableColumns count="2">
    <tableColumn id="1" name="Component"/>
    <tableColumn id="2" name="Quantity"/>
  </tableColumns>
</table>
</file>

<file path=xl/tables/table5.xml><?xml version="1.0" encoding="utf-8"?>
<table xmlns="http://schemas.openxmlformats.org/spreadsheetml/2006/main" id="5" name="Table4" displayName="Table4" ref="F6:G10" headerRowCount="1" totalsRowCount="0" totalsRowShown="0">
  <autoFilter ref="F6:G10"/>
  <tableColumns count="2">
    <tableColumn id="1" name="Component"/>
    <tableColumn id="2" name="Quantity"/>
  </tableColumns>
</table>
</file>

<file path=xl/tables/table6.xml><?xml version="1.0" encoding="utf-8"?>
<table xmlns="http://schemas.openxmlformats.org/spreadsheetml/2006/main" id="6" name="Table5" displayName="Table5" ref="I6:J10" headerRowCount="1" totalsRowCount="0" totalsRowShown="0">
  <autoFilter ref="I6:J10"/>
  <tableColumns count="2">
    <tableColumn id="1" name="Component"/>
    <tableColumn id="2" name="Quantity"/>
  </tableColumns>
</table>
</file>

<file path=xl/tables/table7.xml><?xml version="1.0" encoding="utf-8"?>
<table xmlns="http://schemas.openxmlformats.org/spreadsheetml/2006/main" id="7" name="Table6" displayName="Table6" ref="C14:D17" headerRowCount="1" totalsRowCount="0" totalsRowShown="0">
  <autoFilter ref="C14:D17"/>
  <tableColumns count="2">
    <tableColumn id="1" name="Component"/>
    <tableColumn id="2" name="Cost/Quantity"/>
  </tableColumns>
</table>
</file>

<file path=xl/tables/table8.xml><?xml version="1.0" encoding="utf-8"?>
<table xmlns="http://schemas.openxmlformats.org/spreadsheetml/2006/main" id="8" name="Table7" displayName="Table7" ref="C21:D26" headerRowCount="1" totalsRowCount="0" totalsRowShown="0">
  <autoFilter ref="C21:D26"/>
  <tableColumns count="2">
    <tableColumn id="1" name="Component"/>
    <tableColumn id="2" name="Cost/Quantity"/>
  </tableColumns>
</table>
</file>

<file path=xl/tables/table9.xml><?xml version="1.0" encoding="utf-8"?>
<table xmlns="http://schemas.openxmlformats.org/spreadsheetml/2006/main" id="9" name="Table8" displayName="Table8" ref="D4:E10" headerRowCount="1" totalsRowCount="0" totalsRowShown="0">
  <autoFilter ref="D4:E10"/>
  <tableColumns count="2">
    <tableColumn id="1" name="Component"/>
    <tableColumn id="2" name="Quantity"/>
  </tableColumns>
</table>
</file>

<file path=xl/tables/table10.xml><?xml version="1.0" encoding="utf-8"?>
<table xmlns="http://schemas.openxmlformats.org/spreadsheetml/2006/main" id="10" name="Table9" displayName="Table9" ref="D14:E17" headerRowCount="1" totalsRowCount="0" totalsRowShown="0">
  <autoFilter ref="D14:E17"/>
  <tableColumns count="2">
    <tableColumn id="1" name="Component"/>
    <tableColumn id="2" name="Cos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<Relationship Id="rId4" Type="http://schemas.openxmlformats.org/officeDocument/2006/relationships/table" Target="../tables/table3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4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11.1640625" defaultRowHeight="18" zeroHeight="false" outlineLevelRow="0" outlineLevelCol="0"/>
  <cols>
    <col collapsed="false" customWidth="true" hidden="false" outlineLevel="0" max="2" min="2" style="1" width="52"/>
    <col collapsed="false" customWidth="true" hidden="false" outlineLevel="0" max="3" min="3" style="1" width="15.91"/>
    <col collapsed="false" customWidth="true" hidden="false" outlineLevel="0" max="5" min="5" style="1" width="50"/>
    <col collapsed="false" customWidth="true" hidden="false" outlineLevel="0" max="6" min="6" style="1" width="18.66"/>
    <col collapsed="false" customWidth="true" hidden="false" outlineLevel="0" max="7" min="7" style="1" width="20.33"/>
    <col collapsed="false" customWidth="true" hidden="false" outlineLevel="0" max="9" min="8" style="1" width="19"/>
    <col collapsed="false" customWidth="true" hidden="false" outlineLevel="0" max="10" min="10" style="1" width="12.58"/>
    <col collapsed="false" customWidth="true" hidden="false" outlineLevel="0" max="11" min="11" style="1" width="18.33"/>
  </cols>
  <sheetData>
    <row r="3" customFormat="false" ht="18" hidden="false" customHeight="true" outlineLevel="0" collapsed="false"/>
    <row r="4" customFormat="false" ht="18.75" hidden="false" customHeight="true" outlineLevel="0" collapsed="false">
      <c r="B4" s="2" t="s">
        <v>0</v>
      </c>
      <c r="C4" s="2"/>
      <c r="E4" s="3" t="s">
        <v>1</v>
      </c>
      <c r="F4" s="3"/>
      <c r="G4" s="3"/>
      <c r="H4" s="3"/>
      <c r="I4" s="3"/>
      <c r="J4" s="3"/>
      <c r="K4" s="3"/>
    </row>
    <row r="5" customFormat="false" ht="36" hidden="false" customHeight="true" outlineLevel="0" collapsed="false">
      <c r="B5" s="4" t="s">
        <v>2</v>
      </c>
      <c r="C5" s="5" t="s">
        <v>3</v>
      </c>
      <c r="E5" s="6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8" t="s">
        <v>10</v>
      </c>
    </row>
    <row r="6" customFormat="false" ht="18" hidden="false" customHeight="true" outlineLevel="0" collapsed="false">
      <c r="B6" s="4" t="s">
        <v>11</v>
      </c>
      <c r="C6" s="9" t="n">
        <v>40</v>
      </c>
      <c r="E6" s="10" t="s">
        <v>12</v>
      </c>
      <c r="F6" s="11" t="n">
        <v>0.2</v>
      </c>
      <c r="G6" s="11" t="n">
        <v>0.5</v>
      </c>
      <c r="H6" s="12" t="n">
        <f aca="false">F6*$C$11/1000000</f>
        <v>0.000622</v>
      </c>
      <c r="I6" s="12" t="n">
        <f aca="false">G6*$C$12/1000000</f>
        <v>0.000125</v>
      </c>
      <c r="J6" s="12" t="n">
        <f aca="false">H6+I6</f>
        <v>0.000747</v>
      </c>
      <c r="K6" s="13" t="n">
        <f aca="false">Table2[[#This Row],[Total Cost per query]]*$C$16</f>
        <v>1.8675</v>
      </c>
    </row>
    <row r="7" customFormat="false" ht="18" hidden="false" customHeight="true" outlineLevel="0" collapsed="false">
      <c r="B7" s="4" t="s">
        <v>13</v>
      </c>
      <c r="C7" s="9" t="n">
        <v>650</v>
      </c>
      <c r="E7" s="10" t="s">
        <v>14</v>
      </c>
      <c r="F7" s="11" t="n">
        <v>0.1</v>
      </c>
      <c r="G7" s="11" t="n">
        <v>0.5</v>
      </c>
      <c r="H7" s="12" t="n">
        <f aca="false">F7*$C$11/1000000</f>
        <v>0.000311</v>
      </c>
      <c r="I7" s="12" t="n">
        <f aca="false">G7*$C$12/1000000</f>
        <v>0.000125</v>
      </c>
      <c r="J7" s="12" t="n">
        <f aca="false">H7+I7</f>
        <v>0.000436</v>
      </c>
      <c r="K7" s="13" t="n">
        <f aca="false">Table2[[#This Row],[Total Cost per query]]*$C$16</f>
        <v>1.09</v>
      </c>
    </row>
    <row r="8" customFormat="false" ht="18" hidden="false" customHeight="true" outlineLevel="0" collapsed="false">
      <c r="B8" s="4" t="s">
        <v>15</v>
      </c>
      <c r="C8" s="14" t="n">
        <f aca="false">5*400</f>
        <v>2000</v>
      </c>
      <c r="E8" s="10" t="s">
        <v>16</v>
      </c>
      <c r="F8" s="11" t="n">
        <v>2</v>
      </c>
      <c r="G8" s="11" t="n">
        <v>10</v>
      </c>
      <c r="H8" s="12" t="n">
        <f aca="false">F8*$C$11/1000000</f>
        <v>0.00622</v>
      </c>
      <c r="I8" s="12" t="n">
        <f aca="false">G8*$C$12/1000000</f>
        <v>0.0025</v>
      </c>
      <c r="J8" s="12" t="n">
        <f aca="false">H8+I8</f>
        <v>0.00872</v>
      </c>
      <c r="K8" s="13" t="n">
        <f aca="false">Table2[[#This Row],[Total Cost per query]]*$C$16</f>
        <v>21.8</v>
      </c>
    </row>
    <row r="9" customFormat="false" ht="18" hidden="false" customHeight="true" outlineLevel="0" collapsed="false">
      <c r="B9" s="4" t="s">
        <v>17</v>
      </c>
      <c r="C9" s="9" t="n">
        <v>60</v>
      </c>
      <c r="E9" s="15"/>
      <c r="F9" s="16"/>
      <c r="G9" s="16"/>
      <c r="H9" s="16"/>
      <c r="I9" s="16"/>
      <c r="J9" s="16"/>
      <c r="K9" s="17"/>
    </row>
    <row r="10" customFormat="false" ht="18" hidden="false" customHeight="true" outlineLevel="0" collapsed="false">
      <c r="B10" s="4" t="s">
        <v>18</v>
      </c>
      <c r="C10" s="14" t="n">
        <f aca="false">3*120</f>
        <v>360</v>
      </c>
      <c r="E10" s="18" t="s">
        <v>19</v>
      </c>
      <c r="F10" s="16"/>
      <c r="G10" s="16"/>
      <c r="H10" s="16"/>
      <c r="I10" s="16"/>
      <c r="J10" s="16"/>
      <c r="K10" s="17"/>
    </row>
    <row r="11" customFormat="false" ht="18" hidden="false" customHeight="true" outlineLevel="0" collapsed="false">
      <c r="B11" s="19" t="s">
        <v>20</v>
      </c>
      <c r="C11" s="20" t="n">
        <f aca="false">SUM(C6:C10)</f>
        <v>3110</v>
      </c>
      <c r="E11" s="21" t="s">
        <v>21</v>
      </c>
      <c r="F11" s="22" t="n">
        <v>0.95</v>
      </c>
      <c r="G11" s="23"/>
      <c r="H11" s="23"/>
      <c r="I11" s="23"/>
      <c r="J11" s="23"/>
      <c r="K11" s="24"/>
    </row>
    <row r="12" customFormat="false" ht="18" hidden="false" customHeight="true" outlineLevel="0" collapsed="false">
      <c r="B12" s="4" t="s">
        <v>22</v>
      </c>
      <c r="C12" s="9" t="n">
        <v>250</v>
      </c>
      <c r="E12" s="25" t="s">
        <v>23</v>
      </c>
      <c r="F12" s="26" t="n">
        <f aca="false">1-F11</f>
        <v>0.05</v>
      </c>
    </row>
    <row r="13" customFormat="false" ht="18" hidden="false" customHeight="true" outlineLevel="0" collapsed="false">
      <c r="B13" s="19" t="s">
        <v>24</v>
      </c>
      <c r="C13" s="27" t="n">
        <f aca="false">C11+C12</f>
        <v>3360</v>
      </c>
      <c r="E13" s="25" t="s">
        <v>25</v>
      </c>
      <c r="F13" s="28" t="n">
        <f aca="false">F11*J6+F12*J7</f>
        <v>0.00073145</v>
      </c>
    </row>
    <row r="14" customFormat="false" ht="18" hidden="false" customHeight="true" outlineLevel="0" collapsed="false">
      <c r="B14" s="4" t="s">
        <v>26</v>
      </c>
      <c r="C14" s="29" t="n">
        <f aca="false">2500/30</f>
        <v>83.3333333333333</v>
      </c>
      <c r="E14" s="25" t="s">
        <v>27</v>
      </c>
      <c r="F14" s="30" t="n">
        <f aca="false">F13*C16</f>
        <v>1.828625</v>
      </c>
    </row>
    <row r="15" customFormat="false" ht="18" hidden="false" customHeight="true" outlineLevel="0" collapsed="false">
      <c r="B15" s="4" t="s">
        <v>28</v>
      </c>
      <c r="C15" s="31" t="n">
        <v>30</v>
      </c>
      <c r="E15" s="25" t="s">
        <v>29</v>
      </c>
      <c r="F15" s="32" t="n">
        <v>4000</v>
      </c>
    </row>
    <row r="16" customFormat="false" ht="18" hidden="false" customHeight="true" outlineLevel="0" collapsed="false">
      <c r="B16" s="33" t="s">
        <v>30</v>
      </c>
      <c r="C16" s="34" t="n">
        <f aca="false">C14*C15</f>
        <v>2500</v>
      </c>
      <c r="E16" s="25" t="s">
        <v>31</v>
      </c>
      <c r="F16" s="30" t="n">
        <f aca="false">F13*F15</f>
        <v>2.9258</v>
      </c>
    </row>
    <row r="17" customFormat="false" ht="18" hidden="false" customHeight="true" outlineLevel="0" collapsed="false">
      <c r="E17" s="25" t="s">
        <v>32</v>
      </c>
      <c r="F17" s="35" t="n">
        <v>0.02</v>
      </c>
    </row>
    <row r="18" customFormat="false" ht="18" hidden="false" customHeight="true" outlineLevel="0" collapsed="false">
      <c r="E18" s="25" t="s">
        <v>33</v>
      </c>
      <c r="F18" s="35" t="n">
        <v>0.1</v>
      </c>
    </row>
    <row r="19" customFormat="false" ht="18" hidden="false" customHeight="true" outlineLevel="0" collapsed="false">
      <c r="E19" s="25" t="s">
        <v>34</v>
      </c>
      <c r="F19" s="36" t="n">
        <f aca="false">F18*C16</f>
        <v>250</v>
      </c>
    </row>
    <row r="20" customFormat="false" ht="18" hidden="false" customHeight="true" outlineLevel="0" collapsed="false">
      <c r="E20" s="25" t="s">
        <v>35</v>
      </c>
      <c r="F20" s="36" t="n">
        <f aca="false">3*(F14*10+F16*2)</f>
        <v>72.41355</v>
      </c>
    </row>
    <row r="23" customFormat="false" ht="18" hidden="false" customHeight="true" outlineLevel="0" collapsed="false">
      <c r="B23" s="37" t="s">
        <v>36</v>
      </c>
    </row>
    <row r="24" customFormat="false" ht="18" hidden="false" customHeight="true" outlineLevel="0" collapsed="false">
      <c r="B24" s="38" t="s">
        <v>37</v>
      </c>
    </row>
    <row r="25" customFormat="false" ht="18" hidden="false" customHeight="true" outlineLevel="0" collapsed="false">
      <c r="B25" s="38" t="s">
        <v>38</v>
      </c>
    </row>
    <row r="26" customFormat="false" ht="18" hidden="false" customHeight="true" outlineLevel="0" collapsed="false">
      <c r="B26" s="38" t="s">
        <v>39</v>
      </c>
    </row>
    <row r="27" customFormat="false" ht="18" hidden="false" customHeight="true" outlineLevel="0" collapsed="false">
      <c r="B27" s="38" t="s">
        <v>40</v>
      </c>
    </row>
    <row r="28" customFormat="false" ht="18" hidden="false" customHeight="true" outlineLevel="0" collapsed="false">
      <c r="B28" s="38" t="s">
        <v>41</v>
      </c>
    </row>
  </sheetData>
  <mergeCells count="2">
    <mergeCell ref="B4:C4"/>
    <mergeCell ref="E4:K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11.1640625" defaultRowHeight="18" zeroHeight="false" outlineLevelRow="0" outlineLevelCol="0"/>
  <cols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6" min="6" style="1" width="32"/>
    <col collapsed="false" customWidth="true" hidden="false" outlineLevel="0" max="7" min="7" style="1" width="15"/>
    <col collapsed="false" customWidth="true" hidden="false" outlineLevel="0" max="9" min="9" style="1" width="38"/>
    <col collapsed="false" customWidth="true" hidden="false" outlineLevel="0" max="10" min="10" style="1" width="14.92"/>
  </cols>
  <sheetData>
    <row r="2" customFormat="false" ht="18" hidden="false" customHeight="true" outlineLevel="0" collapsed="false"/>
    <row r="3" customFormat="false" ht="24" hidden="false" customHeight="true" outlineLevel="0" collapsed="false">
      <c r="C3" s="39" t="s">
        <v>42</v>
      </c>
      <c r="D3" s="40" t="n">
        <v>1.3</v>
      </c>
    </row>
    <row r="4" customFormat="false" ht="18" hidden="false" customHeight="true" outlineLevel="0" collapsed="false"/>
    <row r="5" customFormat="false" ht="19.5" hidden="false" customHeight="true" outlineLevel="0" collapsed="false">
      <c r="C5" s="41" t="s">
        <v>43</v>
      </c>
      <c r="D5" s="41"/>
      <c r="F5" s="42" t="s">
        <v>44</v>
      </c>
      <c r="G5" s="42"/>
      <c r="I5" s="42" t="s">
        <v>45</v>
      </c>
      <c r="J5" s="42"/>
    </row>
    <row r="6" customFormat="false" ht="18" hidden="false" customHeight="true" outlineLevel="0" collapsed="false">
      <c r="C6" s="43" t="s">
        <v>46</v>
      </c>
      <c r="D6" s="44" t="s">
        <v>3</v>
      </c>
      <c r="F6" s="43" t="s">
        <v>46</v>
      </c>
      <c r="G6" s="44" t="s">
        <v>3</v>
      </c>
      <c r="I6" s="43" t="s">
        <v>46</v>
      </c>
      <c r="J6" s="44" t="s">
        <v>3</v>
      </c>
    </row>
    <row r="7" customFormat="false" ht="18" hidden="false" customHeight="true" outlineLevel="0" collapsed="false">
      <c r="C7" s="45" t="s">
        <v>47</v>
      </c>
      <c r="D7" s="46" t="n">
        <v>300</v>
      </c>
      <c r="F7" s="47" t="s">
        <v>48</v>
      </c>
      <c r="G7" s="48" t="n">
        <v>150</v>
      </c>
      <c r="I7" s="49" t="s">
        <v>49</v>
      </c>
      <c r="J7" s="46" t="n">
        <v>40</v>
      </c>
    </row>
    <row r="8" customFormat="false" ht="18" hidden="false" customHeight="true" outlineLevel="0" collapsed="false">
      <c r="C8" s="45" t="s">
        <v>50</v>
      </c>
      <c r="D8" s="46" t="n">
        <v>450</v>
      </c>
      <c r="F8" s="47" t="s">
        <v>51</v>
      </c>
      <c r="G8" s="48" t="n">
        <v>120</v>
      </c>
      <c r="I8" s="50" t="s">
        <v>52</v>
      </c>
      <c r="J8" s="46" t="n">
        <v>3400</v>
      </c>
    </row>
    <row r="9" customFormat="false" ht="18" hidden="false" customHeight="true" outlineLevel="0" collapsed="false">
      <c r="C9" s="45" t="s">
        <v>53</v>
      </c>
      <c r="D9" s="51" t="n">
        <f aca="false">D7*D8</f>
        <v>135000</v>
      </c>
      <c r="F9" s="47" t="s">
        <v>53</v>
      </c>
      <c r="G9" s="52" t="n">
        <f aca="false">G8*G7</f>
        <v>18000</v>
      </c>
      <c r="I9" s="49" t="s">
        <v>53</v>
      </c>
      <c r="J9" s="51" t="n">
        <f aca="false">J8*J7</f>
        <v>136000</v>
      </c>
    </row>
    <row r="10" customFormat="false" ht="18" hidden="false" customHeight="true" outlineLevel="0" collapsed="false">
      <c r="C10" s="53" t="s">
        <v>54</v>
      </c>
      <c r="D10" s="54" t="n">
        <f aca="false">D9*D3</f>
        <v>175500</v>
      </c>
      <c r="F10" s="53" t="s">
        <v>55</v>
      </c>
      <c r="G10" s="54" t="n">
        <f aca="false">G9*D3</f>
        <v>23400</v>
      </c>
      <c r="I10" s="53" t="s">
        <v>55</v>
      </c>
      <c r="J10" s="54" t="n">
        <f aca="false">J9*D3</f>
        <v>176800</v>
      </c>
    </row>
    <row r="12" customFormat="false" ht="18" hidden="false" customHeight="true" outlineLevel="0" collapsed="false"/>
    <row r="13" customFormat="false" ht="18" hidden="false" customHeight="true" outlineLevel="0" collapsed="false">
      <c r="C13" s="41" t="s">
        <v>56</v>
      </c>
      <c r="D13" s="41"/>
    </row>
    <row r="14" customFormat="false" ht="18" hidden="false" customHeight="true" outlineLevel="0" collapsed="false">
      <c r="C14" s="43" t="s">
        <v>46</v>
      </c>
      <c r="D14" s="44" t="s">
        <v>57</v>
      </c>
    </row>
    <row r="15" customFormat="false" ht="18" hidden="false" customHeight="true" outlineLevel="0" collapsed="false">
      <c r="C15" s="45" t="s">
        <v>58</v>
      </c>
      <c r="D15" s="51" t="n">
        <f aca="false">D10+G10+J10</f>
        <v>375700</v>
      </c>
    </row>
    <row r="16" customFormat="false" ht="18" hidden="false" customHeight="true" outlineLevel="0" collapsed="false">
      <c r="C16" s="45" t="s">
        <v>59</v>
      </c>
      <c r="D16" s="46" t="n">
        <v>0.06</v>
      </c>
    </row>
    <row r="17" customFormat="false" ht="18" hidden="false" customHeight="true" outlineLevel="0" collapsed="false">
      <c r="C17" s="55" t="s">
        <v>60</v>
      </c>
      <c r="D17" s="56" t="n">
        <f aca="false">D15*D16/1000000</f>
        <v>0.022542</v>
      </c>
    </row>
    <row r="19" customFormat="false" ht="18" hidden="false" customHeight="true" outlineLevel="0" collapsed="false"/>
    <row r="20" customFormat="false" ht="18" hidden="false" customHeight="true" outlineLevel="0" collapsed="false">
      <c r="C20" s="41" t="s">
        <v>61</v>
      </c>
      <c r="D20" s="41"/>
    </row>
    <row r="21" customFormat="false" ht="18" hidden="false" customHeight="true" outlineLevel="0" collapsed="false">
      <c r="C21" s="43" t="s">
        <v>46</v>
      </c>
      <c r="D21" s="44" t="s">
        <v>57</v>
      </c>
    </row>
    <row r="22" customFormat="false" ht="18" hidden="false" customHeight="true" outlineLevel="0" collapsed="false">
      <c r="C22" s="45" t="s">
        <v>62</v>
      </c>
      <c r="D22" s="31" t="n">
        <v>40</v>
      </c>
    </row>
    <row r="23" customFormat="false" ht="18" hidden="false" customHeight="true" outlineLevel="0" collapsed="false">
      <c r="C23" s="45" t="s">
        <v>63</v>
      </c>
      <c r="D23" s="57" t="n">
        <f aca="false">Inference!C16</f>
        <v>2500</v>
      </c>
    </row>
    <row r="24" customFormat="false" ht="18" hidden="false" customHeight="true" outlineLevel="0" collapsed="false">
      <c r="C24" s="45" t="s">
        <v>64</v>
      </c>
      <c r="D24" s="51" t="n">
        <f aca="false">D23*D22</f>
        <v>100000</v>
      </c>
    </row>
    <row r="25" customFormat="false" ht="18" hidden="false" customHeight="true" outlineLevel="0" collapsed="false">
      <c r="C25" s="58" t="s">
        <v>59</v>
      </c>
      <c r="D25" s="59" t="n">
        <f aca="false">D16</f>
        <v>0.06</v>
      </c>
    </row>
    <row r="26" customFormat="false" ht="18" hidden="false" customHeight="true" outlineLevel="0" collapsed="false">
      <c r="C26" s="60" t="s">
        <v>65</v>
      </c>
      <c r="D26" s="56" t="n">
        <f aca="false">D24*D25/1000000</f>
        <v>0.006</v>
      </c>
    </row>
    <row r="28" customFormat="false" ht="18" hidden="false" customHeight="true" outlineLevel="0" collapsed="false"/>
    <row r="29" customFormat="false" ht="18" hidden="false" customHeight="true" outlineLevel="0" collapsed="false">
      <c r="C29" s="61" t="s">
        <v>66</v>
      </c>
      <c r="D29" s="62" t="n">
        <f aca="false">D17+D26</f>
        <v>0.028542</v>
      </c>
    </row>
    <row r="32" customFormat="false" ht="18" hidden="false" customHeight="true" outlineLevel="0" collapsed="false">
      <c r="C32" s="37" t="s">
        <v>36</v>
      </c>
    </row>
    <row r="33" customFormat="false" ht="18" hidden="false" customHeight="true" outlineLevel="0" collapsed="false">
      <c r="C33" s="38" t="s">
        <v>67</v>
      </c>
    </row>
    <row r="34" customFormat="false" ht="18" hidden="false" customHeight="true" outlineLevel="0" collapsed="false">
      <c r="C34" s="38" t="s">
        <v>68</v>
      </c>
    </row>
  </sheetData>
  <mergeCells count="5">
    <mergeCell ref="C5:D5"/>
    <mergeCell ref="F5:G5"/>
    <mergeCell ref="I5:J5"/>
    <mergeCell ref="C13:D13"/>
    <mergeCell ref="C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1640625" defaultRowHeight="18" zeroHeight="false" outlineLevelRow="0" outlineLevelCol="0"/>
  <cols>
    <col collapsed="false" customWidth="true" hidden="false" outlineLevel="0" max="4" min="4" style="1" width="72"/>
    <col collapsed="false" customWidth="true" hidden="false" outlineLevel="0" max="5" min="5" style="1" width="16"/>
  </cols>
  <sheetData>
    <row r="3" customFormat="false" ht="18" hidden="false" customHeight="true" outlineLevel="0" collapsed="false">
      <c r="D3" s="63" t="s">
        <v>69</v>
      </c>
      <c r="E3" s="63"/>
    </row>
    <row r="4" customFormat="false" ht="18" hidden="false" customHeight="true" outlineLevel="0" collapsed="false">
      <c r="D4" s="64" t="s">
        <v>46</v>
      </c>
      <c r="E4" s="64" t="s">
        <v>3</v>
      </c>
    </row>
    <row r="5" customFormat="false" ht="18" hidden="false" customHeight="true" outlineLevel="0" collapsed="false">
      <c r="D5" s="64" t="s">
        <v>70</v>
      </c>
      <c r="E5" s="65" t="n">
        <f aca="false">E9/E7</f>
        <v>113.636363636364</v>
      </c>
    </row>
    <row r="6" customFormat="false" ht="18" hidden="false" customHeight="true" outlineLevel="0" collapsed="false">
      <c r="D6" s="64" t="s">
        <v>71</v>
      </c>
      <c r="E6" s="65" t="n">
        <f aca="false">480/18</f>
        <v>26.6666666666667</v>
      </c>
    </row>
    <row r="7" customFormat="false" ht="18" hidden="false" customHeight="true" outlineLevel="0" collapsed="false">
      <c r="D7" s="64" t="s">
        <v>72</v>
      </c>
      <c r="E7" s="66" t="n">
        <v>22</v>
      </c>
    </row>
    <row r="8" customFormat="false" ht="18" hidden="false" customHeight="true" outlineLevel="0" collapsed="false">
      <c r="D8" s="64" t="s">
        <v>73</v>
      </c>
      <c r="E8" s="67" t="n">
        <f aca="false">E6*E7</f>
        <v>586.666666666667</v>
      </c>
    </row>
    <row r="9" customFormat="false" ht="18" hidden="false" customHeight="true" outlineLevel="0" collapsed="false">
      <c r="D9" s="64" t="s">
        <v>74</v>
      </c>
      <c r="E9" s="66" t="n">
        <v>2500</v>
      </c>
    </row>
    <row r="10" customFormat="false" ht="18" hidden="false" customHeight="true" outlineLevel="0" collapsed="false">
      <c r="D10" s="64" t="s">
        <v>75</v>
      </c>
      <c r="E10" s="68" t="n">
        <f aca="false">E9/E8</f>
        <v>4.26136363636364</v>
      </c>
    </row>
    <row r="13" customFormat="false" ht="18" hidden="false" customHeight="true" outlineLevel="0" collapsed="false">
      <c r="D13" s="63" t="s">
        <v>76</v>
      </c>
      <c r="E13" s="63"/>
    </row>
    <row r="14" customFormat="false" ht="18" hidden="false" customHeight="true" outlineLevel="0" collapsed="false">
      <c r="D14" s="6" t="s">
        <v>46</v>
      </c>
      <c r="E14" s="69" t="s">
        <v>77</v>
      </c>
    </row>
    <row r="15" customFormat="false" ht="18" hidden="false" customHeight="true" outlineLevel="0" collapsed="false">
      <c r="D15" s="10" t="s">
        <v>78</v>
      </c>
      <c r="E15" s="13" t="n">
        <f aca="false">35*8*E7</f>
        <v>6160</v>
      </c>
    </row>
    <row r="16" customFormat="false" ht="18" hidden="false" customHeight="true" outlineLevel="0" collapsed="false">
      <c r="D16" s="10" t="s">
        <v>79</v>
      </c>
      <c r="E16" s="70" t="n">
        <v>0</v>
      </c>
    </row>
    <row r="17" customFormat="false" ht="18" hidden="false" customHeight="true" outlineLevel="0" collapsed="false">
      <c r="D17" s="71" t="s">
        <v>80</v>
      </c>
      <c r="E17" s="72" t="n">
        <f aca="false">E15+E16</f>
        <v>6160</v>
      </c>
    </row>
    <row r="19" customFormat="false" ht="18" hidden="false" customHeight="true" outlineLevel="0" collapsed="false">
      <c r="D19" s="73" t="s">
        <v>81</v>
      </c>
      <c r="E19" s="74" t="n">
        <f aca="false">E17*E10</f>
        <v>26250</v>
      </c>
    </row>
    <row r="22" customFormat="false" ht="19.5" hidden="false" customHeight="true" outlineLevel="0" collapsed="false">
      <c r="D22" s="75" t="s">
        <v>82</v>
      </c>
      <c r="E22" s="75"/>
    </row>
    <row r="23" customFormat="false" ht="18" hidden="false" customHeight="true" outlineLevel="0" collapsed="false">
      <c r="D23" s="6" t="s">
        <v>46</v>
      </c>
      <c r="E23" s="69" t="s">
        <v>77</v>
      </c>
    </row>
    <row r="24" customFormat="false" ht="18" hidden="false" customHeight="true" outlineLevel="0" collapsed="false">
      <c r="D24" s="15" t="s">
        <v>83</v>
      </c>
      <c r="E24" s="76" t="n">
        <f aca="false">Inference!F14</f>
        <v>1.828625</v>
      </c>
    </row>
    <row r="25" customFormat="false" ht="18" hidden="false" customHeight="true" outlineLevel="0" collapsed="false">
      <c r="D25" s="77" t="s">
        <v>84</v>
      </c>
      <c r="E25" s="78" t="n">
        <f aca="false">Embeddings!D26+Embeddings!D17/12</f>
        <v>0.0078785</v>
      </c>
    </row>
    <row r="26" customFormat="false" ht="18" hidden="false" customHeight="true" outlineLevel="0" collapsed="false">
      <c r="D26" s="77" t="s">
        <v>85</v>
      </c>
      <c r="E26" s="79" t="n">
        <v>150</v>
      </c>
    </row>
    <row r="27" customFormat="false" ht="18" hidden="false" customHeight="true" outlineLevel="0" collapsed="false">
      <c r="D27" s="73" t="s">
        <v>86</v>
      </c>
      <c r="E27" s="74" t="n">
        <f aca="false">SUM(E24:E26)</f>
        <v>151.8365035</v>
      </c>
    </row>
    <row r="30" customFormat="false" ht="18" hidden="false" customHeight="true" outlineLevel="0" collapsed="false">
      <c r="D30" s="80" t="s">
        <v>87</v>
      </c>
      <c r="E30" s="81" t="n">
        <f aca="false">E19-E27</f>
        <v>26098.1634965</v>
      </c>
    </row>
    <row r="31" customFormat="false" ht="18" hidden="false" customHeight="true" outlineLevel="0" collapsed="false">
      <c r="D31" s="80" t="s">
        <v>88</v>
      </c>
      <c r="E31" s="82" t="n">
        <f aca="false">E30/E19</f>
        <v>0.994215752247619</v>
      </c>
    </row>
    <row r="34" customFormat="false" ht="18" hidden="false" customHeight="true" outlineLevel="0" collapsed="false">
      <c r="D34" s="37" t="s">
        <v>89</v>
      </c>
    </row>
    <row r="35" customFormat="false" ht="18" hidden="false" customHeight="true" outlineLevel="0" collapsed="false">
      <c r="D35" s="25" t="s">
        <v>90</v>
      </c>
      <c r="E35" s="83" t="n">
        <v>0.6</v>
      </c>
    </row>
    <row r="36" customFormat="false" ht="18" hidden="false" customHeight="true" outlineLevel="0" collapsed="false">
      <c r="D36" s="25" t="s">
        <v>91</v>
      </c>
      <c r="E36" s="84" t="n">
        <v>12</v>
      </c>
    </row>
    <row r="37" customFormat="false" ht="18" hidden="false" customHeight="true" outlineLevel="0" collapsed="false">
      <c r="D37" s="25" t="s">
        <v>92</v>
      </c>
      <c r="E37" s="36" t="n">
        <f aca="false">E36*35</f>
        <v>420</v>
      </c>
    </row>
    <row r="38" customFormat="false" ht="18" hidden="false" customHeight="true" outlineLevel="0" collapsed="false">
      <c r="D38" s="25" t="s">
        <v>93</v>
      </c>
      <c r="E38" s="36" t="n">
        <f aca="false">E19*E35</f>
        <v>15750</v>
      </c>
    </row>
    <row r="39" customFormat="false" ht="18" hidden="false" customHeight="true" outlineLevel="0" collapsed="false">
      <c r="D39" s="25" t="s">
        <v>94</v>
      </c>
      <c r="E39" s="36" t="n">
        <f aca="false">E38-E27-E37</f>
        <v>15178.1634965</v>
      </c>
    </row>
    <row r="40" customFormat="false" ht="18" hidden="false" customHeight="true" outlineLevel="0" collapsed="false">
      <c r="D40" s="25" t="s">
        <v>95</v>
      </c>
      <c r="E40" s="36" t="n">
        <f aca="false">E39*12</f>
        <v>182137.961958</v>
      </c>
    </row>
    <row r="41" customFormat="false" ht="18" hidden="false" customHeight="true" outlineLevel="0" collapsed="false">
      <c r="D41" s="25" t="s">
        <v>96</v>
      </c>
      <c r="E41" s="85" t="n">
        <f aca="false">E10*E35</f>
        <v>2.55681818181818</v>
      </c>
    </row>
    <row r="42" customFormat="false" ht="18" hidden="false" customHeight="true" outlineLevel="0" collapsed="false">
      <c r="D42" s="25" t="s">
        <v>97</v>
      </c>
      <c r="E42" s="36" t="n">
        <f aca="false">4*1.5*8000</f>
        <v>48000</v>
      </c>
    </row>
    <row r="43" customFormat="false" ht="18" hidden="false" customHeight="true" outlineLevel="0" collapsed="false">
      <c r="D43" s="25" t="s">
        <v>98</v>
      </c>
      <c r="E43" s="85" t="n">
        <f aca="false">E42/E39</f>
        <v>3.16243793335528</v>
      </c>
    </row>
    <row r="46" customFormat="false" ht="18" hidden="false" customHeight="true" outlineLevel="0" collapsed="false">
      <c r="D46" s="37" t="s">
        <v>36</v>
      </c>
    </row>
    <row r="47" customFormat="false" ht="18" hidden="false" customHeight="true" outlineLevel="0" collapsed="false">
      <c r="D47" s="38" t="s">
        <v>99</v>
      </c>
    </row>
    <row r="48" customFormat="false" ht="18" hidden="false" customHeight="true" outlineLevel="0" collapsed="false">
      <c r="D48" s="38" t="s">
        <v>100</v>
      </c>
    </row>
    <row r="49" customFormat="false" ht="18" hidden="false" customHeight="true" outlineLevel="0" collapsed="false">
      <c r="D49" s="38" t="s">
        <v>101</v>
      </c>
    </row>
  </sheetData>
  <mergeCells count="3">
    <mergeCell ref="D3:E3"/>
    <mergeCell ref="D13:E13"/>
    <mergeCell ref="D22:E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2026-09-12T10:38:39Z</dcterms:created>
  <dc:creator>Aakash  Pardeshi</dc:creator>
  <dc:description/>
  <dc:language>en-US</dc:language>
  <cp:lastModifiedBy>Admin</cp:lastModifiedBy>
  <dcterms:modified xsi:type="dcterms:W3CDTF">2026-10-27T09:50:48Z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